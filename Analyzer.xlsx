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fd06f4b23d508c/Documents/Excel/Projects/"/>
    </mc:Choice>
  </mc:AlternateContent>
  <xr:revisionPtr revIDLastSave="821" documentId="8_{4DA2D051-A1D3-4BDE-8D18-C3F5C3681860}" xr6:coauthVersionLast="47" xr6:coauthVersionMax="47" xr10:uidLastSave="{09B41AE2-B77A-43E9-83EC-58B022EF7F28}"/>
  <bookViews>
    <workbookView xWindow="-120" yWindow="-120" windowWidth="29040" windowHeight="15720" activeTab="2" xr2:uid="{CA5D4A01-CEA4-4DE0-85CB-4E4DECD7A1C9}"/>
  </bookViews>
  <sheets>
    <sheet name=" Dataset &amp;cf" sheetId="1" r:id="rId1"/>
    <sheet name="Summaary Output" sheetId="6" r:id="rId2"/>
    <sheet name="Sales Analysis" sheetId="7" r:id="rId3"/>
    <sheet name="Sales Growth Analysis" sheetId="12" r:id="rId4"/>
    <sheet name="Pivot Table" sheetId="13" r:id="rId5"/>
    <sheet name="Chart" sheetId="14" r:id="rId6"/>
    <sheet name="Dashboard" sheetId="15" r:id="rId7"/>
  </sheets>
  <calcPr calcId="191029"/>
  <pivotCaches>
    <pivotCache cacheId="6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2" l="1"/>
  <c r="D8" i="15"/>
  <c r="S8" i="15"/>
  <c r="P8" i="15"/>
  <c r="M8" i="15"/>
  <c r="J8" i="15"/>
  <c r="G8" i="15"/>
  <c r="D18" i="12"/>
  <c r="C18" i="12"/>
  <c r="D4" i="12"/>
  <c r="D5" i="12"/>
  <c r="D6" i="12"/>
  <c r="D7" i="12"/>
  <c r="D8" i="12"/>
  <c r="D9" i="12"/>
  <c r="D10" i="12"/>
  <c r="D11" i="12"/>
  <c r="D12" i="12"/>
  <c r="D13" i="12"/>
  <c r="J12" i="1"/>
  <c r="J13" i="1"/>
  <c r="J14" i="1"/>
  <c r="J15" i="1"/>
  <c r="J16" i="1"/>
  <c r="J17" i="1"/>
  <c r="J18" i="1"/>
  <c r="J19" i="1"/>
  <c r="J20" i="1"/>
  <c r="L3" i="1" l="1"/>
  <c r="L2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L21" i="1" s="1"/>
  <c r="J3" i="1"/>
  <c r="J4" i="1"/>
  <c r="J5" i="1"/>
  <c r="J6" i="1"/>
  <c r="J7" i="1"/>
  <c r="J8" i="1"/>
  <c r="J9" i="1"/>
  <c r="J10" i="1"/>
  <c r="J11" i="1"/>
  <c r="J21" i="1"/>
  <c r="J2" i="1"/>
  <c r="L10" i="1" l="1"/>
  <c r="L8" i="1"/>
  <c r="L7" i="1"/>
  <c r="L18" i="1"/>
  <c r="L17" i="1"/>
  <c r="L16" i="1"/>
  <c r="L4" i="1"/>
  <c r="L9" i="1"/>
  <c r="L19" i="1"/>
  <c r="L6" i="1"/>
  <c r="L5" i="1"/>
  <c r="L15" i="1"/>
  <c r="L12" i="1"/>
  <c r="L11" i="1"/>
  <c r="L20" i="1"/>
  <c r="L14" i="1"/>
  <c r="L13" i="1"/>
</calcChain>
</file>

<file path=xl/sharedStrings.xml><?xml version="1.0" encoding="utf-8"?>
<sst xmlns="http://schemas.openxmlformats.org/spreadsheetml/2006/main" count="233" uniqueCount="135">
  <si>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</si>
  <si>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</si>
  <si>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</si>
  <si>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</si>
  <si>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</si>
  <si>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</si>
  <si>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</si>
  <si>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</si>
  <si>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</si>
  <si>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CUST001</t>
  </si>
  <si>
    <t>Linda Wilson</t>
  </si>
  <si>
    <t>West</t>
  </si>
  <si>
    <t>Electronics</t>
  </si>
  <si>
    <t>CUST002</t>
  </si>
  <si>
    <t>John Brown</t>
  </si>
  <si>
    <t>North</t>
  </si>
  <si>
    <t>Furniture</t>
  </si>
  <si>
    <t>CUST003</t>
  </si>
  <si>
    <t>Sarah Anderson</t>
  </si>
  <si>
    <t>South</t>
  </si>
  <si>
    <t>Books</t>
  </si>
  <si>
    <t>CUST004</t>
  </si>
  <si>
    <t>Emma Davis</t>
  </si>
  <si>
    <t>East</t>
  </si>
  <si>
    <t>Office Supplies</t>
  </si>
  <si>
    <t>CUST005</t>
  </si>
  <si>
    <t>David Smith</t>
  </si>
  <si>
    <t>Central</t>
  </si>
  <si>
    <t>CUST006</t>
  </si>
  <si>
    <t>Michael Anderson</t>
  </si>
  <si>
    <t>CUST007</t>
  </si>
  <si>
    <t>Mary Davis</t>
  </si>
  <si>
    <t>CUST008</t>
  </si>
  <si>
    <t>Robert Anderson</t>
  </si>
  <si>
    <t>Clothing</t>
  </si>
  <si>
    <t>CUST009</t>
  </si>
  <si>
    <t>James Taylor</t>
  </si>
  <si>
    <t>CUST010</t>
  </si>
  <si>
    <t>Lisa Thomas</t>
  </si>
  <si>
    <t>CUST011</t>
  </si>
  <si>
    <t>David Brown</t>
  </si>
  <si>
    <t>CUST012</t>
  </si>
  <si>
    <t>Linda Jackson</t>
  </si>
  <si>
    <t>CUST013</t>
  </si>
  <si>
    <t>Emma Wilson</t>
  </si>
  <si>
    <t>CUST014</t>
  </si>
  <si>
    <t>James Wilson</t>
  </si>
  <si>
    <t>CUST015</t>
  </si>
  <si>
    <t>Mary Jackson</t>
  </si>
  <si>
    <t>CUST016</t>
  </si>
  <si>
    <t>John Davis</t>
  </si>
  <si>
    <t>CUST017</t>
  </si>
  <si>
    <t>David Thomas</t>
  </si>
  <si>
    <t>CUST018</t>
  </si>
  <si>
    <t>Linda Taylor</t>
  </si>
  <si>
    <t>CUST019</t>
  </si>
  <si>
    <t>Sarah Wilson</t>
  </si>
  <si>
    <t>CUST020</t>
  </si>
  <si>
    <t>Michael Brown</t>
  </si>
  <si>
    <t>New_Discount</t>
  </si>
  <si>
    <t>New_Profit</t>
  </si>
  <si>
    <t>Sum of Sales</t>
  </si>
  <si>
    <t>Grand 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</si>
  <si>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</si>
  <si>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</si>
  <si>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</si>
  <si>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</si>
  <si>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</si>
  <si>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</si>
  <si>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</si>
  <si>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</si>
  <si>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</si>
  <si>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</si>
  <si>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</si>
  <si>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</si>
  <si>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</si>
  <si>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</si>
  <si>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</si>
  <si>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</si>
  <si>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</si>
  <si>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</si>
  <si>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</si>
  <si>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</si>
  <si>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</si>
  <si>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</si>
  <si>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</si>
  <si>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</si>
  <si>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</si>
  <si>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</si>
  <si>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</si>
  <si>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</si>
  <si>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</si>
  <si>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</si>
  <si>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</si>
  <si>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</si>
  <si>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</si>
  <si>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</si>
  <si>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</si>
  <si>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</si>
  <si>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</si>
  <si>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</si>
  <si>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</si>
  <si>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</si>
  <si>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</si>
  <si>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</si>
  <si>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</si>
  <si>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</si>
  <si>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</si>
  <si>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</si>
  <si>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</si>
  <si>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Row Labels</t>
  </si>
  <si>
    <t>Growth</t>
  </si>
  <si>
    <t>September</t>
  </si>
  <si>
    <t>October</t>
  </si>
  <si>
    <t>November</t>
  </si>
  <si>
    <t>December</t>
  </si>
  <si>
    <t>Timestamp</t>
  </si>
  <si>
    <t>Total Purchase</t>
  </si>
  <si>
    <t>Mar</t>
  </si>
  <si>
    <t>Apr</t>
  </si>
  <si>
    <t>Jun</t>
  </si>
  <si>
    <t>Jul</t>
  </si>
  <si>
    <t>Aug</t>
  </si>
  <si>
    <t>Sales Analyzer Dashboard</t>
  </si>
  <si>
    <t>Total Sales</t>
  </si>
  <si>
    <t>Total Profit</t>
  </si>
  <si>
    <t>Average Sales</t>
  </si>
  <si>
    <t>Total Orders</t>
  </si>
  <si>
    <t>Highest Sales</t>
  </si>
  <si>
    <t>Lowest Sales</t>
  </si>
  <si>
    <t>Region Wise Sales (Bar Chart)</t>
  </si>
  <si>
    <t>Monthly Sales Trend (Line Chart)</t>
  </si>
  <si>
    <t>Chart</t>
  </si>
  <si>
    <t>Sales Analysis</t>
  </si>
  <si>
    <t>High value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</si>
</sst>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[Green]\▲\ 0.00%;[Red]\▼\ \-0.0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theme="4" tint="0.39997558519241921"/>
      </top>
      <bottom/>
      <diagonal/>
    </border>
    <border>
      <left style="thin">
        <color rgb="FFB2B2B2"/>
      </left>
      <right/>
      <top/>
      <bottom/>
      <diagonal/>
    </border>
  </borders>
  <cellStyleXfs count="1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2" applyNumberFormat="0" applyFont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4" applyFont="1" applyAlignment="1">
      <alignment horizontal="center"/>
    </xf>
    <xf numFmtId="0" fontId="3" fillId="2" borderId="0" xfId="2" applyAlignment="1">
      <alignment horizontal="center"/>
    </xf>
    <xf numFmtId="164" fontId="4" fillId="4" borderId="0" xfId="4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4" fillId="4" borderId="0" xfId="4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4" fillId="4" borderId="0" xfId="4" applyNumberFormat="1" applyFont="1" applyAlignment="1">
      <alignment horizontal="center"/>
    </xf>
    <xf numFmtId="0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Fill="1" applyBorder="1" applyAlignment="1"/>
    <xf numFmtId="0" fontId="0" fillId="0" borderId="4" xfId="0" applyFill="1" applyBorder="1" applyAlignment="1"/>
    <xf numFmtId="0" fontId="7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Continuous"/>
    </xf>
    <xf numFmtId="0" fontId="4" fillId="4" borderId="0" xfId="4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/>
    <xf numFmtId="40" fontId="5" fillId="5" borderId="0" xfId="5" applyNumberFormat="1" applyFont="1"/>
    <xf numFmtId="22" fontId="0" fillId="0" borderId="0" xfId="0" applyNumberFormat="1" applyAlignment="1">
      <alignment horizontal="center"/>
    </xf>
    <xf numFmtId="0" fontId="2" fillId="0" borderId="1" xfId="1"/>
    <xf numFmtId="0" fontId="0" fillId="0" borderId="0" xfId="0" applyAlignment="1">
      <alignment horizontal="left" indent="1"/>
    </xf>
    <xf numFmtId="0" fontId="9" fillId="4" borderId="0" xfId="4" applyFont="1" applyAlignment="1">
      <alignment horizontal="center" vertical="center"/>
    </xf>
    <xf numFmtId="0" fontId="1" fillId="5" borderId="0" xfId="5" applyAlignment="1">
      <alignment horizontal="center"/>
    </xf>
    <xf numFmtId="164" fontId="1" fillId="9" borderId="0" xfId="9" applyNumberFormat="1" applyAlignment="1">
      <alignment horizontal="center" vertical="center"/>
    </xf>
    <xf numFmtId="0" fontId="1" fillId="8" borderId="0" xfId="8" applyAlignment="1">
      <alignment horizontal="center" vertical="center"/>
    </xf>
    <xf numFmtId="164" fontId="1" fillId="8" borderId="0" xfId="8" applyNumberFormat="1" applyAlignment="1">
      <alignment horizontal="center" vertical="center"/>
    </xf>
    <xf numFmtId="0" fontId="10" fillId="6" borderId="0" xfId="6" applyFont="1" applyAlignment="1">
      <alignment horizontal="center" vertical="center"/>
    </xf>
    <xf numFmtId="0" fontId="2" fillId="0" borderId="1" xfId="1" applyAlignment="1">
      <alignment horizontal="center"/>
    </xf>
    <xf numFmtId="0" fontId="0" fillId="0" borderId="6" xfId="0" applyBorder="1" applyAlignment="1">
      <alignment horizontal="center"/>
    </xf>
    <xf numFmtId="0" fontId="11" fillId="3" borderId="7" xfId="3" applyFont="1" applyBorder="1" applyAlignment="1">
      <alignment horizontal="center" vertical="center"/>
    </xf>
    <xf numFmtId="0" fontId="11" fillId="3" borderId="0" xfId="3" applyFont="1" applyBorder="1" applyAlignment="1">
      <alignment horizontal="center" vertical="center"/>
    </xf>
    <xf numFmtId="0" fontId="12" fillId="7" borderId="3" xfId="7" applyFont="1" applyBorder="1" applyAlignment="1">
      <alignment horizontal="center" vertical="center"/>
    </xf>
    <xf numFmtId="0" fontId="12" fillId="7" borderId="0" xfId="7" applyFont="1" applyBorder="1" applyAlignment="1">
      <alignment horizontal="center" vertical="center"/>
    </xf>
  </cellXfs>
  <cellStyles count="10">
    <cellStyle name="20% - Accent1" xfId="5" builtinId="30"/>
    <cellStyle name="20% - Accent2" xfId="8" builtinId="34"/>
    <cellStyle name="20% - Accent3" xfId="9" builtinId="38"/>
    <cellStyle name="40% - Accent1" xfId="6" builtinId="31"/>
    <cellStyle name="Accent1" xfId="4" builtinId="29"/>
    <cellStyle name="Accent2" xfId="7" builtinId="33"/>
    <cellStyle name="Good" xfId="2" builtinId="26"/>
    <cellStyle name="Heading 3" xfId="1" builtinId="18"/>
    <cellStyle name="Normal" xfId="0" builtinId="0"/>
    <cellStyle name="Note" xfId="3" builtinId="1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3985.25</c:v>
              </c:pt>
              <c:pt idx="1">
                <c:v>4469.6500000000005</c:v>
              </c:pt>
              <c:pt idx="2">
                <c:v>5459.9</c:v>
              </c:pt>
              <c:pt idx="3">
                <c:v>3377.0999999999995</c:v>
              </c:pt>
              <c:pt idx="4">
                <c:v>5042.08</c:v>
              </c:pt>
            </c:numLit>
          </c:val>
          <c:extLst>
            <c:ext xmlns:c16="http://schemas.microsoft.com/office/drawing/2014/chart" uri="{C3380CC4-5D6E-409C-BE32-E72D297353CC}">
              <c16:uniqueId val="{00000000-3CB8-4958-B6D3-69C5FFA6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525744"/>
        <c:axId val="904524784"/>
      </c:barChart>
      <c:catAx>
        <c:axId val="90452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4784"/>
        <c:crosses val="autoZero"/>
        <c:auto val="1"/>
        <c:lblAlgn val="ctr"/>
        <c:lblOffset val="100"/>
        <c:noMultiLvlLbl val="0"/>
      </c:catAx>
      <c:valAx>
        <c:axId val="9045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layout>
        <c:manualLayout>
          <c:xMode val="edge"/>
          <c:yMode val="edge"/>
          <c:x val="0.34214141414141414"/>
          <c:y val="0.12124408129648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Chart!$L$8:$L$18</c:f>
              <c:strCache>
                <c:ptCount val="10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</c:strCache>
            </c:strRef>
          </c:cat>
          <c:val>
            <c:numRef>
              <c:f>Chart!$M$8:$M$18</c:f>
              <c:numCache>
                <c:formatCode>"₹"\ #,##0.00</c:formatCode>
                <c:ptCount val="10"/>
                <c:pt idx="0">
                  <c:v>3006.0299999999997</c:v>
                </c:pt>
                <c:pt idx="1">
                  <c:v>1770.5</c:v>
                </c:pt>
                <c:pt idx="2">
                  <c:v>1216.8499999999999</c:v>
                </c:pt>
                <c:pt idx="3">
                  <c:v>2918.65</c:v>
                </c:pt>
                <c:pt idx="4">
                  <c:v>2169.65</c:v>
                </c:pt>
                <c:pt idx="5">
                  <c:v>2036.05</c:v>
                </c:pt>
                <c:pt idx="6">
                  <c:v>1905.9499999999998</c:v>
                </c:pt>
                <c:pt idx="7">
                  <c:v>2258.6</c:v>
                </c:pt>
                <c:pt idx="8">
                  <c:v>3236.1000000000004</c:v>
                </c:pt>
                <c:pt idx="9">
                  <c:v>1815.6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7F7-A153-1A5756B04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457136"/>
        <c:axId val="829458576"/>
      </c:lineChart>
      <c:catAx>
        <c:axId val="8294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8576"/>
        <c:crosses val="autoZero"/>
        <c:auto val="1"/>
        <c:lblAlgn val="ctr"/>
        <c:lblOffset val="100"/>
        <c:noMultiLvlLbl val="0"/>
      </c:catAx>
      <c:valAx>
        <c:axId val="8294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Catagory Sales</a:t>
            </a:r>
          </a:p>
        </c:rich>
      </c:tx>
      <c:layout>
        <c:manualLayout>
          <c:xMode val="edge"/>
          <c:yMode val="edge"/>
          <c:x val="0.29229046369203848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Chart!$S$22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Chart!$R$23:$R$28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Chart!$S$23:$S$28</c:f>
              <c:numCache>
                <c:formatCode>"₹"\ #,##0.00</c:formatCode>
                <c:ptCount val="5"/>
                <c:pt idx="0">
                  <c:v>4893.45</c:v>
                </c:pt>
                <c:pt idx="1">
                  <c:v>2138.6999999999998</c:v>
                </c:pt>
                <c:pt idx="2">
                  <c:v>6956.58</c:v>
                </c:pt>
                <c:pt idx="3">
                  <c:v>4181.8500000000004</c:v>
                </c:pt>
                <c:pt idx="4">
                  <c:v>4163.3999999999996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5F2-9267-71CD90140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3985.25</c:v>
              </c:pt>
              <c:pt idx="1">
                <c:v>4469.6500000000005</c:v>
              </c:pt>
              <c:pt idx="2">
                <c:v>5459.9</c:v>
              </c:pt>
              <c:pt idx="3">
                <c:v>3377.0999999999995</c:v>
              </c:pt>
              <c:pt idx="4">
                <c:v>5042.08</c:v>
              </c:pt>
            </c:numLit>
          </c:val>
          <c:extLst>
            <c:ext xmlns:c16="http://schemas.microsoft.com/office/drawing/2014/chart" uri="{C3380CC4-5D6E-409C-BE32-E72D297353CC}">
              <c16:uniqueId val="{00000000-B657-4831-9068-A001B7E71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525744"/>
        <c:axId val="904524784"/>
      </c:barChart>
      <c:catAx>
        <c:axId val="90452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4784"/>
        <c:crosses val="autoZero"/>
        <c:auto val="1"/>
        <c:lblAlgn val="ctr"/>
        <c:lblOffset val="100"/>
        <c:noMultiLvlLbl val="0"/>
      </c:catAx>
      <c:valAx>
        <c:axId val="9045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Chart!$L$8:$L$18</c:f>
              <c:strCache>
                <c:ptCount val="10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</c:strCache>
            </c:strRef>
          </c:cat>
          <c:val>
            <c:numRef>
              <c:f>Chart!$M$8:$M$18</c:f>
              <c:numCache>
                <c:formatCode>"₹"\ #,##0.00</c:formatCode>
                <c:ptCount val="10"/>
                <c:pt idx="0">
                  <c:v>3006.0299999999997</c:v>
                </c:pt>
                <c:pt idx="1">
                  <c:v>1770.5</c:v>
                </c:pt>
                <c:pt idx="2">
                  <c:v>1216.8499999999999</c:v>
                </c:pt>
                <c:pt idx="3">
                  <c:v>2918.65</c:v>
                </c:pt>
                <c:pt idx="4">
                  <c:v>2169.65</c:v>
                </c:pt>
                <c:pt idx="5">
                  <c:v>2036.05</c:v>
                </c:pt>
                <c:pt idx="6">
                  <c:v>1905.9499999999998</c:v>
                </c:pt>
                <c:pt idx="7">
                  <c:v>2258.6</c:v>
                </c:pt>
                <c:pt idx="8">
                  <c:v>3236.1000000000004</c:v>
                </c:pt>
                <c:pt idx="9">
                  <c:v>1815.6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F-402D-9A29-0B155412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457136"/>
        <c:axId val="829458576"/>
      </c:lineChart>
      <c:catAx>
        <c:axId val="8294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8576"/>
        <c:crosses val="autoZero"/>
        <c:auto val="1"/>
        <c:lblAlgn val="ctr"/>
        <c:lblOffset val="100"/>
        <c:noMultiLvlLbl val="0"/>
      </c:catAx>
      <c:valAx>
        <c:axId val="8294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Catagory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Chart!$S$22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39-432A-A8B1-3EFC454902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9-432A-A8B1-3EFC454902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9-432A-A8B1-3EFC454902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39-432A-A8B1-3EFC454902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39-432A-A8B1-3EFC454902D2}"/>
              </c:ext>
            </c:extLst>
          </c:dPt>
          <c:cat>
            <c:strRef>
              <c:f>Chart!$R$23:$R$28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Chart!$S$23:$S$28</c:f>
              <c:numCache>
                <c:formatCode>"₹"\ #,##0.00</c:formatCode>
                <c:ptCount val="5"/>
                <c:pt idx="0">
                  <c:v>4893.45</c:v>
                </c:pt>
                <c:pt idx="1">
                  <c:v>2138.6999999999998</c:v>
                </c:pt>
                <c:pt idx="2">
                  <c:v>6956.58</c:v>
                </c:pt>
                <c:pt idx="3">
                  <c:v>4181.8500000000004</c:v>
                </c:pt>
                <c:pt idx="4">
                  <c:v>4163.3999999999996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39-432A-A8B1-3EFC4549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4</xdr:row>
      <xdr:rowOff>76199</xdr:rowOff>
    </xdr:from>
    <xdr:to>
      <xdr:col>8</xdr:col>
      <xdr:colOff>447675</xdr:colOff>
      <xdr:row>18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15601-D485-31FF-F64F-C7DE46228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581026</xdr:colOff>
      <xdr:row>19</xdr:row>
      <xdr:rowOff>23812</xdr:rowOff>
    </xdr:from>
    <xdr:to>
      <xdr:col>14</xdr:col>
      <xdr:colOff>590550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1813C-55A1-AA93-2764-BB537525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66675</xdr:colOff>
      <xdr:row>4</xdr:row>
      <xdr:rowOff>4762</xdr:rowOff>
    </xdr:from>
    <xdr:to>
      <xdr:col>21</xdr:col>
      <xdr:colOff>247650</xdr:colOff>
      <xdr:row>18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D75571-AD61-C84E-8B1D-D7B47BC18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590551</xdr:colOff>
      <xdr:row>12</xdr:row>
      <xdr:rowOff>180975</xdr:rowOff>
    </xdr:from>
    <xdr:to>
      <xdr:col>11</xdr:col>
      <xdr:colOff>9525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FE8B4-275B-4098-A3B4-E5596E407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</xdr:row>
      <xdr:rowOff>9525</xdr:rowOff>
    </xdr:from>
    <xdr:to>
      <xdr:col>20</xdr:col>
      <xdr:colOff>9525</xdr:colOff>
      <xdr:row>28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68C4A-2A03-4E0F-99B8-66F18AD0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13</xdr:col>
      <xdr:colOff>552450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C7D023-97DE-4B55-BCAF-4B2E03777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 Patel" refreshedDate="46202.445412152774" createdVersion="8" refreshedVersion="8" minRefreshableVersion="3" recordCount="20" xr:uid="{570F9663-BD05-4BB3-98D5-67C0DC1C9CBA}">
  <cacheSource type="worksheet">
    <worksheetSource ref="A1:L21" sheet=" Dataset &amp;cf"/>
  </cacheSource>
  <cacheFields count="14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North"/>
        <s v="South"/>
        <s v="East"/>
        <s v="Central"/>
      </sharedItems>
    </cacheField>
    <cacheField name="Product_Category" numFmtId="0">
      <sharedItems count="5">
        <s v="Electronics"/>
        <s v="Furniture"/>
        <s v="Books"/>
        <s v="Office Supplies"/>
        <s v="Clothing"/>
      </sharedItems>
    </cacheField>
    <cacheField name="Sales" numFmtId="164">
      <sharedItems containsSemiMixedTypes="0" containsString="0" containsNumber="1" minValue="540.95000000000005" maxValue="1780.9"/>
    </cacheField>
    <cacheField name="Quantity" numFmtId="0">
      <sharedItems containsSemiMixedTypes="0" containsString="0" containsNumber="1" containsInteger="1" minValue="4" maxValue="20"/>
    </cacheField>
    <cacheField name="Discount" numFmtId="1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3-05T00:00:00" maxDate="2024-12-30T00:00:00" count="20">
        <d v="2024-03-16T00:00:00"/>
        <d v="2024-04-17T00:00:00"/>
        <d v="2024-05-18T00:00:00"/>
        <d v="2024-06-20T00:00:00"/>
        <d v="2024-07-22T00:00:00"/>
        <d v="2024-08-24T00:00:00"/>
        <d v="2024-09-26T00:00:00"/>
        <d v="2024-10-28T00:00:00"/>
        <d v="2024-11-01T00:00:00"/>
        <d v="2024-12-03T00:00:00"/>
        <d v="2024-03-05T00:00:00"/>
        <d v="2024-04-08T00:00:00"/>
        <d v="2024-05-10T00:00:00"/>
        <d v="2024-06-12T00:00:00"/>
        <d v="2024-07-15T00:00:00"/>
        <d v="2024-08-18T00:00:00"/>
        <d v="2024-09-20T00:00:00"/>
        <d v="2024-10-23T00:00:00"/>
        <d v="2024-11-26T00:00:00"/>
        <d v="2024-12-29T00:00:00"/>
      </sharedItems>
      <fieldGroup par="13"/>
    </cacheField>
    <cacheField name="Month" numFmtId="0">
      <sharedItems count="10"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fit" numFmtId="0">
      <sharedItems containsSemiMixedTypes="0" containsString="0" containsNumber="1" minValue="513.90250000000003" maxValue="1691.855"/>
    </cacheField>
    <cacheField name="New_Discount" numFmtId="10">
      <sharedItems containsSemiMixedTypes="0" containsString="0" containsNumber="1" minValue="0.05" maxValue="1.0000000000000002"/>
    </cacheField>
    <cacheField name="New_Profit" numFmtId="164">
      <sharedItems containsSemiMixedTypes="0" containsString="0" containsNumber="1" minValue="0" maxValue="1251.6534999999999"/>
    </cacheField>
    <cacheField name="Days (Order_Date)" numFmtId="0" databaseField="0">
      <fieldGroup base="7">
        <rangePr groupBy="days" startDate="2024-03-05T00:00:00" endDate="2024-12-30T00:00:00"/>
        <groupItems count="368">
          <s v="&lt;05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12-2024"/>
        </groupItems>
      </fieldGroup>
    </cacheField>
    <cacheField name="Months (Order_Date)" numFmtId="0" databaseField="0">
      <fieldGroup base="7">
        <rangePr groupBy="months" startDate="2024-03-05T00:00:00" endDate="2024-12-30T00:00:00"/>
        <groupItems count="14">
          <s v="&lt;05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UST001"/>
    <s v="Linda Wilson"/>
    <x v="0"/>
    <x v="0"/>
    <n v="1317.53"/>
    <n v="12"/>
    <n v="0.05"/>
    <x v="0"/>
    <x v="0"/>
    <n v="1251.6534999999999"/>
    <n v="0.05"/>
    <n v="1251.6534999999999"/>
  </r>
  <r>
    <s v="CUST002"/>
    <s v="John Brown"/>
    <x v="1"/>
    <x v="1"/>
    <n v="845.4"/>
    <n v="5"/>
    <n v="0.1"/>
    <x v="1"/>
    <x v="1"/>
    <n v="760.86"/>
    <n v="0.1"/>
    <n v="760.86"/>
  </r>
  <r>
    <s v="CUST003"/>
    <s v="Sarah Anderson"/>
    <x v="2"/>
    <x v="2"/>
    <n v="675.9"/>
    <n v="9"/>
    <n v="0.15"/>
    <x v="2"/>
    <x v="2"/>
    <n v="574.51499999999999"/>
    <n v="0.15000000000000002"/>
    <n v="574.51499999999999"/>
  </r>
  <r>
    <s v="CUST004"/>
    <s v="Emma Davis"/>
    <x v="3"/>
    <x v="3"/>
    <n v="1540.25"/>
    <n v="15"/>
    <n v="0.05"/>
    <x v="3"/>
    <x v="3"/>
    <n v="1463.2375"/>
    <n v="0.2"/>
    <n v="1232.2"/>
  </r>
  <r>
    <s v="CUST005"/>
    <s v="David Smith"/>
    <x v="4"/>
    <x v="0"/>
    <n v="980"/>
    <n v="7"/>
    <n v="0.2"/>
    <x v="4"/>
    <x v="4"/>
    <n v="784"/>
    <n v="0.25"/>
    <n v="735"/>
  </r>
  <r>
    <s v="CUST006"/>
    <s v="Michael Anderson"/>
    <x v="0"/>
    <x v="2"/>
    <n v="1205.5999999999999"/>
    <n v="14"/>
    <n v="0.1"/>
    <x v="5"/>
    <x v="5"/>
    <n v="1085.04"/>
    <n v="0.3"/>
    <n v="843.92"/>
  </r>
  <r>
    <s v="CUST007"/>
    <s v="Mary Davis"/>
    <x v="3"/>
    <x v="1"/>
    <n v="890.15"/>
    <n v="8"/>
    <n v="0.05"/>
    <x v="6"/>
    <x v="6"/>
    <n v="845.64249999999993"/>
    <n v="0.35"/>
    <n v="578.59750000000008"/>
  </r>
  <r>
    <s v="CUST008"/>
    <s v="Robert Anderson"/>
    <x v="2"/>
    <x v="4"/>
    <n v="760.3"/>
    <n v="11"/>
    <n v="0.15"/>
    <x v="7"/>
    <x v="7"/>
    <n v="646.255"/>
    <n v="0.39999999999999997"/>
    <n v="456.18"/>
  </r>
  <r>
    <s v="CUST009"/>
    <s v="James Taylor"/>
    <x v="1"/>
    <x v="2"/>
    <n v="1455.2"/>
    <n v="18"/>
    <n v="0"/>
    <x v="8"/>
    <x v="8"/>
    <n v="1455.2"/>
    <n v="0.44999999999999996"/>
    <n v="800.36000000000013"/>
  </r>
  <r>
    <s v="CUST010"/>
    <s v="Lisa Thomas"/>
    <x v="4"/>
    <x v="3"/>
    <n v="1124.8499999999999"/>
    <n v="10"/>
    <n v="0.1"/>
    <x v="9"/>
    <x v="9"/>
    <n v="1012.3649999999999"/>
    <n v="0.49999999999999994"/>
    <n v="562.42500000000007"/>
  </r>
  <r>
    <s v="CUST011"/>
    <s v="David Brown"/>
    <x v="0"/>
    <x v="0"/>
    <n v="1688.5"/>
    <n v="20"/>
    <n v="0.05"/>
    <x v="10"/>
    <x v="0"/>
    <n v="1604.075"/>
    <n v="0.54999999999999993"/>
    <n v="759.82500000000016"/>
  </r>
  <r>
    <s v="CUST012"/>
    <s v="Linda Jackson"/>
    <x v="2"/>
    <x v="1"/>
    <n v="925.1"/>
    <n v="6"/>
    <n v="0.2"/>
    <x v="11"/>
    <x v="1"/>
    <n v="740.08"/>
    <n v="0.6"/>
    <n v="370.04000000000008"/>
  </r>
  <r>
    <s v="CUST013"/>
    <s v="Emma Wilson"/>
    <x v="3"/>
    <x v="2"/>
    <n v="540.95000000000005"/>
    <n v="4"/>
    <n v="0.05"/>
    <x v="12"/>
    <x v="2"/>
    <n v="513.90250000000003"/>
    <n v="0.65"/>
    <n v="189.33249999999998"/>
  </r>
  <r>
    <s v="CUST014"/>
    <s v="James Wilson"/>
    <x v="1"/>
    <x v="4"/>
    <n v="1378.4"/>
    <n v="13"/>
    <n v="0.15"/>
    <x v="13"/>
    <x v="3"/>
    <n v="1171.6400000000001"/>
    <n v="0.70000000000000007"/>
    <n v="413.52"/>
  </r>
  <r>
    <s v="CUST015"/>
    <s v="Mary Jackson"/>
    <x v="4"/>
    <x v="0"/>
    <n v="1189.6500000000001"/>
    <n v="9"/>
    <n v="0.1"/>
    <x v="14"/>
    <x v="4"/>
    <n v="1070.6850000000002"/>
    <n v="0.75000000000000011"/>
    <n v="297.41249999999991"/>
  </r>
  <r>
    <s v="CUST016"/>
    <s v="John Davis"/>
    <x v="0"/>
    <x v="1"/>
    <n v="830.45"/>
    <n v="5"/>
    <n v="0"/>
    <x v="15"/>
    <x v="5"/>
    <n v="830.45"/>
    <n v="0.80000000000000016"/>
    <n v="166.08999999999992"/>
  </r>
  <r>
    <s v="CUST017"/>
    <s v="David Thomas"/>
    <x v="2"/>
    <x v="2"/>
    <n v="1015.8"/>
    <n v="12"/>
    <n v="0.05"/>
    <x v="16"/>
    <x v="6"/>
    <n v="965.01"/>
    <n v="0.8500000000000002"/>
    <n v="152.36999999999978"/>
  </r>
  <r>
    <s v="CUST018"/>
    <s v="Linda Taylor"/>
    <x v="3"/>
    <x v="3"/>
    <n v="1498.3"/>
    <n v="16"/>
    <n v="0.1"/>
    <x v="17"/>
    <x v="7"/>
    <n v="1348.47"/>
    <n v="0.90000000000000024"/>
    <n v="149.8299999999997"/>
  </r>
  <r>
    <s v="CUST019"/>
    <s v="Sarah Wilson"/>
    <x v="1"/>
    <x v="0"/>
    <n v="1780.9"/>
    <n v="19"/>
    <n v="0.05"/>
    <x v="18"/>
    <x v="8"/>
    <n v="1691.855"/>
    <n v="0.95000000000000029"/>
    <n v="89.044999999999391"/>
  </r>
  <r>
    <s v="CUST020"/>
    <s v="Michael Brown"/>
    <x v="4"/>
    <x v="1"/>
    <n v="690.75"/>
    <n v="7"/>
    <n v="0.2"/>
    <x v="19"/>
    <x v="9"/>
    <n v="552.6"/>
    <n v="1.000000000000000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FA193-D9EA-4369-A9D7-FFF8B9B727AC}" name="PivotTable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4" firstHeaderRow="1" firstDataRow="1" firstDataCol="1"/>
  <pivotFields count="14"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4" showAll="0">
      <items count="21">
        <item x="10"/>
        <item x="0"/>
        <item x="11"/>
        <item x="1"/>
        <item x="12"/>
        <item x="2"/>
        <item x="13"/>
        <item x="3"/>
        <item x="14"/>
        <item x="4"/>
        <item x="15"/>
        <item x="5"/>
        <item x="16"/>
        <item x="6"/>
        <item x="17"/>
        <item x="7"/>
        <item x="8"/>
        <item x="18"/>
        <item x="9"/>
        <item x="1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10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C8BDC-E091-4CA2-B987-530FCBDC5504}" name="PivotTable7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14"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Row" showAll="0">
      <items count="6">
        <item x="2"/>
        <item x="4"/>
        <item x="0"/>
        <item x="1"/>
        <item x="3"/>
        <item t="default"/>
      </items>
    </pivotField>
    <pivotField dataField="1" numFmtId="164" showAll="0"/>
    <pivotField showAll="0"/>
    <pivotField numFmtId="10" showAll="0"/>
    <pivotField numFmtId="14" showAll="0">
      <items count="21">
        <item x="10"/>
        <item x="0"/>
        <item x="11"/>
        <item x="1"/>
        <item x="12"/>
        <item x="2"/>
        <item x="13"/>
        <item x="3"/>
        <item x="14"/>
        <item x="4"/>
        <item x="15"/>
        <item x="5"/>
        <item x="16"/>
        <item x="6"/>
        <item x="17"/>
        <item x="7"/>
        <item x="8"/>
        <item x="18"/>
        <item x="9"/>
        <item x="19"/>
        <item t="default"/>
      </items>
    </pivotField>
    <pivotField showAll="0"/>
    <pivotField showAll="0"/>
    <pivotField numFmtId="10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22">
    <i>
      <x/>
    </i>
    <i r="1">
      <x v="2"/>
    </i>
    <i r="1">
      <x v="3"/>
    </i>
    <i r="1">
      <x v="4"/>
    </i>
    <i>
      <x v="1"/>
    </i>
    <i r="1">
      <x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3"/>
    </i>
    <i>
      <x v="4"/>
    </i>
    <i r="1">
      <x/>
    </i>
    <i r="1">
      <x v="2"/>
    </i>
    <i r="1">
      <x v="3"/>
    </i>
    <i t="grand">
      <x/>
    </i>
  </rowItems>
  <colItems count="1">
    <i/>
  </colItems>
  <dataFields count="1">
    <dataField name="Sum of 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7488A-6D22-4B6B-B335-F828E43C0C3A}" name="PivotTable1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2:E28" firstHeaderRow="1" firstDataRow="1" firstDataCol="1"/>
  <pivotFields count="14"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numFmtId="164" showAll="0"/>
    <pivotField showAll="0"/>
    <pivotField numFmtId="10" showAll="0"/>
    <pivotField numFmtId="14" showAll="0">
      <items count="21">
        <item x="10"/>
        <item x="0"/>
        <item x="11"/>
        <item x="1"/>
        <item x="12"/>
        <item x="2"/>
        <item x="13"/>
        <item x="3"/>
        <item x="14"/>
        <item x="4"/>
        <item x="15"/>
        <item x="5"/>
        <item x="16"/>
        <item x="6"/>
        <item x="17"/>
        <item x="7"/>
        <item x="8"/>
        <item x="18"/>
        <item x="9"/>
        <item x="19"/>
        <item t="default"/>
      </items>
    </pivotField>
    <pivotField showAll="0"/>
    <pivotField showAll="0"/>
    <pivotField numFmtId="10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EC4FE-D6EC-40AC-8DA5-0BB4682DFA09}" name="PivotTable1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22:S28" firstHeaderRow="1" firstDataRow="1" firstDataCol="1"/>
  <pivotFields count="14"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dataField="1" numFmtId="164" showAll="0"/>
    <pivotField showAll="0"/>
    <pivotField numFmtId="10" showAll="0"/>
    <pivotField numFmtId="14" showAll="0">
      <items count="21">
        <item x="10"/>
        <item x="0"/>
        <item x="11"/>
        <item x="1"/>
        <item x="12"/>
        <item x="2"/>
        <item x="13"/>
        <item x="3"/>
        <item x="14"/>
        <item x="4"/>
        <item x="15"/>
        <item x="5"/>
        <item x="16"/>
        <item x="6"/>
        <item x="17"/>
        <item x="7"/>
        <item x="8"/>
        <item x="18"/>
        <item x="9"/>
        <item x="19"/>
        <item t="default"/>
      </items>
    </pivotField>
    <pivotField showAll="0"/>
    <pivotField showAll="0"/>
    <pivotField numFmtId="10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4DF15-1CE9-425F-843D-E48DADE167B7}" name="PivotTable9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7:M18" firstHeaderRow="1" firstDataRow="1" firstDataCol="1"/>
  <pivotFields count="14">
    <pivotField showAll="0"/>
    <pivotField showAll="0"/>
    <pivotField showAll="0"/>
    <pivotField showAll="0"/>
    <pivotField dataField="1" numFmtId="164" showAll="0"/>
    <pivotField showAll="0"/>
    <pivotField numFmtId="10" showAll="0"/>
    <pivotField axis="axisRow" numFmtId="14" showAll="0">
      <items count="21">
        <item x="10"/>
        <item x="0"/>
        <item x="11"/>
        <item x="1"/>
        <item x="12"/>
        <item x="2"/>
        <item x="13"/>
        <item x="3"/>
        <item x="14"/>
        <item x="4"/>
        <item x="15"/>
        <item x="5"/>
        <item x="16"/>
        <item x="6"/>
        <item x="17"/>
        <item x="7"/>
        <item x="8"/>
        <item x="18"/>
        <item x="9"/>
        <item x="19"/>
        <item t="default"/>
      </items>
    </pivotField>
    <pivotField showAll="0"/>
    <pivotField showAll="0"/>
    <pivotField numFmtId="10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7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16E0A0-2E41-4569-92F0-F1DBB83066E1}">
  <we:reference id="wa104379190" version="2.0.0.0" store="en-GB" storeType="OMEX"/>
  <we:alternateReferences>
    <we:reference id="wa104379190" version="2.0.0.0" store="wa104379190" storeType="OMEX"/>
  </we:alternateReferences>
  <we:properties/>
  <we:bindings>
    <we:binding id="RangeSelect" type="matrix" appref="{05C7FFA0-8D90-4767-A5D3-253CB26608CB}"/>
    <we:binding id="InputY" type="matrix" appref="{4B5043F7-B44F-4EED-BF93-B29633B17A44}"/>
    <we:binding id="InputX" type="matrix" appref="{725BE4DB-50DF-4C01-86EE-FF3A133F4B96}"/>
  </we:bindings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2995-258D-49F7-8D1B-1FFA3270C3B3}">
  <dimension ref="A1:L22"/>
  <sheetViews>
    <sheetView zoomScale="87" zoomScaleNormal="87" workbookViewId="0">
      <selection activeCell="K33" sqref="K33"/>
    </sheetView>
  </sheetViews>
  <sheetFormatPr defaultRowHeight="15" x14ac:dyDescent="0.25"/>
  <cols>
    <col min="1" max="1" width="14" customWidth="1"/>
    <col min="2" max="2" width="16.85546875" customWidth="1"/>
    <col min="4" max="4" width="17.28515625" customWidth="1"/>
    <col min="5" max="5" width="10.7109375" customWidth="1"/>
    <col min="6" max="6" width="14.85546875" customWidth="1"/>
    <col min="7" max="7" width="10.5703125" customWidth="1"/>
    <col min="8" max="9" width="13" customWidth="1"/>
    <col min="10" max="10" width="11" customWidth="1"/>
    <col min="11" max="11" width="14.85546875" style="10" customWidth="1"/>
    <col min="12" max="12" width="12" customWidth="1"/>
    <col min="13" max="13" width="9.140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6" t="s">
        <v>6</v>
      </c>
      <c r="H1" s="2" t="s">
        <v>7</v>
      </c>
      <c r="I1" s="2" t="s">
        <v>99</v>
      </c>
      <c r="J1" s="2" t="s">
        <v>8</v>
      </c>
      <c r="K1" s="9" t="s">
        <v>59</v>
      </c>
      <c r="L1" s="2" t="s">
        <v>60</v>
      </c>
    </row>
    <row r="2" spans="1:12" x14ac:dyDescent="0.25">
      <c r="A2" s="1" t="s">
        <v>9</v>
      </c>
      <c r="B2" s="3" t="s">
        <v>10</v>
      </c>
      <c r="C2" s="1" t="s">
        <v>11</v>
      </c>
      <c r="D2" s="1" t="s">
        <v>12</v>
      </c>
      <c r="E2" s="5">
        <v>1317.53</v>
      </c>
      <c r="F2" s="1">
        <v>12</v>
      </c>
      <c r="G2" s="7">
        <v>0.05</v>
      </c>
      <c r="H2" s="22">
        <v>45367</v>
      </c>
      <c r="I2" s="1" t="s">
        <v>100</v>
      </c>
      <c r="J2">
        <f>E2-(E2*G2)</f>
        <v>1251.6534999999999</v>
      </c>
      <c r="K2" s="8">
        <v>0.05</v>
      </c>
      <c r="L2" s="11">
        <f>E2-(E2*K2)</f>
        <v>1251.6534999999999</v>
      </c>
    </row>
    <row r="3" spans="1:12" x14ac:dyDescent="0.25">
      <c r="A3" s="1" t="s">
        <v>13</v>
      </c>
      <c r="B3" s="1" t="s">
        <v>14</v>
      </c>
      <c r="C3" s="1" t="s">
        <v>15</v>
      </c>
      <c r="D3" s="1" t="s">
        <v>16</v>
      </c>
      <c r="E3" s="5">
        <v>845.4</v>
      </c>
      <c r="F3" s="1">
        <v>5</v>
      </c>
      <c r="G3" s="7">
        <v>0.1</v>
      </c>
      <c r="H3" s="22">
        <v>45399</v>
      </c>
      <c r="I3" s="1" t="s">
        <v>101</v>
      </c>
      <c r="J3">
        <f t="shared" ref="J3:J21" si="0">E3-(E3*G3)</f>
        <v>760.86</v>
      </c>
      <c r="K3" s="8">
        <v>0.1</v>
      </c>
      <c r="L3" s="11">
        <f t="shared" ref="L3:L21" si="1">E3-(E3*K3)</f>
        <v>760.86</v>
      </c>
    </row>
    <row r="4" spans="1:12" x14ac:dyDescent="0.25">
      <c r="A4" s="1" t="s">
        <v>17</v>
      </c>
      <c r="B4" s="1" t="s">
        <v>18</v>
      </c>
      <c r="C4" s="1" t="s">
        <v>19</v>
      </c>
      <c r="D4" s="1" t="s">
        <v>20</v>
      </c>
      <c r="E4" s="5">
        <v>675.9</v>
      </c>
      <c r="F4" s="1">
        <v>9</v>
      </c>
      <c r="G4" s="7">
        <v>0.15</v>
      </c>
      <c r="H4" s="22">
        <v>45430</v>
      </c>
      <c r="I4" s="1" t="s">
        <v>102</v>
      </c>
      <c r="J4">
        <f t="shared" si="0"/>
        <v>574.51499999999999</v>
      </c>
      <c r="K4" s="8">
        <f>K3+0.05</f>
        <v>0.15000000000000002</v>
      </c>
      <c r="L4" s="11">
        <f t="shared" si="1"/>
        <v>574.51499999999999</v>
      </c>
    </row>
    <row r="5" spans="1:12" x14ac:dyDescent="0.25">
      <c r="A5" s="1" t="s">
        <v>21</v>
      </c>
      <c r="B5" s="3" t="s">
        <v>22</v>
      </c>
      <c r="C5" s="1" t="s">
        <v>23</v>
      </c>
      <c r="D5" s="1" t="s">
        <v>24</v>
      </c>
      <c r="E5" s="5">
        <v>1540.25</v>
      </c>
      <c r="F5" s="1">
        <v>15</v>
      </c>
      <c r="G5" s="7">
        <v>0.05</v>
      </c>
      <c r="H5" s="22">
        <v>45463</v>
      </c>
      <c r="I5" s="1" t="s">
        <v>103</v>
      </c>
      <c r="J5">
        <f t="shared" si="0"/>
        <v>1463.2375</v>
      </c>
      <c r="K5" s="8">
        <f t="shared" ref="K5:K20" si="2">K4+0.05</f>
        <v>0.2</v>
      </c>
      <c r="L5" s="11">
        <f t="shared" si="1"/>
        <v>1232.2</v>
      </c>
    </row>
    <row r="6" spans="1:12" x14ac:dyDescent="0.25">
      <c r="A6" s="1" t="s">
        <v>25</v>
      </c>
      <c r="B6" s="1" t="s">
        <v>26</v>
      </c>
      <c r="C6" s="1" t="s">
        <v>27</v>
      </c>
      <c r="D6" s="1" t="s">
        <v>12</v>
      </c>
      <c r="E6" s="5">
        <v>980</v>
      </c>
      <c r="F6" s="1">
        <v>7</v>
      </c>
      <c r="G6" s="7">
        <v>0.2</v>
      </c>
      <c r="H6" s="22">
        <v>45495</v>
      </c>
      <c r="I6" s="1" t="s">
        <v>104</v>
      </c>
      <c r="J6">
        <f t="shared" si="0"/>
        <v>784</v>
      </c>
      <c r="K6" s="8">
        <f t="shared" si="2"/>
        <v>0.25</v>
      </c>
      <c r="L6" s="11">
        <f t="shared" si="1"/>
        <v>735</v>
      </c>
    </row>
    <row r="7" spans="1:12" x14ac:dyDescent="0.25">
      <c r="A7" s="1" t="s">
        <v>28</v>
      </c>
      <c r="B7" s="3" t="s">
        <v>29</v>
      </c>
      <c r="C7" s="1" t="s">
        <v>11</v>
      </c>
      <c r="D7" s="1" t="s">
        <v>20</v>
      </c>
      <c r="E7" s="5">
        <v>1205.5999999999999</v>
      </c>
      <c r="F7" s="1">
        <v>14</v>
      </c>
      <c r="G7" s="7">
        <v>0.1</v>
      </c>
      <c r="H7" s="22">
        <v>45528</v>
      </c>
      <c r="I7" s="1" t="s">
        <v>105</v>
      </c>
      <c r="J7">
        <f t="shared" si="0"/>
        <v>1085.04</v>
      </c>
      <c r="K7" s="8">
        <f t="shared" si="2"/>
        <v>0.3</v>
      </c>
      <c r="L7" s="11">
        <f t="shared" si="1"/>
        <v>843.92</v>
      </c>
    </row>
    <row r="8" spans="1:12" x14ac:dyDescent="0.25">
      <c r="A8" s="1" t="s">
        <v>30</v>
      </c>
      <c r="B8" s="1" t="s">
        <v>31</v>
      </c>
      <c r="C8" s="1" t="s">
        <v>23</v>
      </c>
      <c r="D8" s="1" t="s">
        <v>16</v>
      </c>
      <c r="E8" s="5">
        <v>890.15</v>
      </c>
      <c r="F8" s="1">
        <v>8</v>
      </c>
      <c r="G8" s="7">
        <v>0.05</v>
      </c>
      <c r="H8" s="22">
        <v>45561</v>
      </c>
      <c r="I8" s="1" t="s">
        <v>112</v>
      </c>
      <c r="J8">
        <f t="shared" si="0"/>
        <v>845.64249999999993</v>
      </c>
      <c r="K8" s="8">
        <f t="shared" si="2"/>
        <v>0.35</v>
      </c>
      <c r="L8" s="11">
        <f t="shared" si="1"/>
        <v>578.59750000000008</v>
      </c>
    </row>
    <row r="9" spans="1:12" x14ac:dyDescent="0.25">
      <c r="A9" s="1" t="s">
        <v>32</v>
      </c>
      <c r="B9" s="1" t="s">
        <v>33</v>
      </c>
      <c r="C9" s="1" t="s">
        <v>19</v>
      </c>
      <c r="D9" s="1" t="s">
        <v>34</v>
      </c>
      <c r="E9" s="5">
        <v>760.3</v>
      </c>
      <c r="F9" s="1">
        <v>11</v>
      </c>
      <c r="G9" s="7">
        <v>0.15</v>
      </c>
      <c r="H9" s="22">
        <v>45593</v>
      </c>
      <c r="I9" s="1" t="s">
        <v>113</v>
      </c>
      <c r="J9">
        <f t="shared" si="0"/>
        <v>646.255</v>
      </c>
      <c r="K9" s="8">
        <f t="shared" si="2"/>
        <v>0.39999999999999997</v>
      </c>
      <c r="L9" s="11">
        <f t="shared" si="1"/>
        <v>456.18</v>
      </c>
    </row>
    <row r="10" spans="1:12" x14ac:dyDescent="0.25">
      <c r="A10" s="1" t="s">
        <v>35</v>
      </c>
      <c r="B10" s="3" t="s">
        <v>36</v>
      </c>
      <c r="C10" s="1" t="s">
        <v>15</v>
      </c>
      <c r="D10" s="1" t="s">
        <v>20</v>
      </c>
      <c r="E10" s="5">
        <v>1455.2</v>
      </c>
      <c r="F10" s="1">
        <v>18</v>
      </c>
      <c r="G10" s="7">
        <v>0</v>
      </c>
      <c r="H10" s="22">
        <v>45597</v>
      </c>
      <c r="I10" s="1" t="s">
        <v>114</v>
      </c>
      <c r="J10">
        <f t="shared" si="0"/>
        <v>1455.2</v>
      </c>
      <c r="K10" s="8">
        <f t="shared" si="2"/>
        <v>0.44999999999999996</v>
      </c>
      <c r="L10" s="11">
        <f t="shared" si="1"/>
        <v>800.36000000000013</v>
      </c>
    </row>
    <row r="11" spans="1:12" x14ac:dyDescent="0.25">
      <c r="A11" s="1" t="s">
        <v>37</v>
      </c>
      <c r="B11" s="3" t="s">
        <v>38</v>
      </c>
      <c r="C11" s="1" t="s">
        <v>27</v>
      </c>
      <c r="D11" s="1" t="s">
        <v>24</v>
      </c>
      <c r="E11" s="5">
        <v>1124.8499999999999</v>
      </c>
      <c r="F11" s="1">
        <v>10</v>
      </c>
      <c r="G11" s="7">
        <v>0.1</v>
      </c>
      <c r="H11" s="22">
        <v>45629</v>
      </c>
      <c r="I11" s="1" t="s">
        <v>115</v>
      </c>
      <c r="J11">
        <f t="shared" si="0"/>
        <v>1012.3649999999999</v>
      </c>
      <c r="K11" s="8">
        <f t="shared" si="2"/>
        <v>0.49999999999999994</v>
      </c>
      <c r="L11" s="11">
        <f t="shared" si="1"/>
        <v>562.42500000000007</v>
      </c>
    </row>
    <row r="12" spans="1:12" x14ac:dyDescent="0.25">
      <c r="A12" s="1" t="s">
        <v>39</v>
      </c>
      <c r="B12" s="3" t="s">
        <v>40</v>
      </c>
      <c r="C12" s="1" t="s">
        <v>11</v>
      </c>
      <c r="D12" s="1" t="s">
        <v>12</v>
      </c>
      <c r="E12" s="5">
        <v>1688.5</v>
      </c>
      <c r="F12" s="1">
        <v>20</v>
      </c>
      <c r="G12" s="7">
        <v>0.05</v>
      </c>
      <c r="H12" s="22">
        <v>45356</v>
      </c>
      <c r="I12" s="1" t="s">
        <v>100</v>
      </c>
      <c r="J12">
        <f>E12-(E12*G12)</f>
        <v>1604.075</v>
      </c>
      <c r="K12" s="8">
        <f>K11+0.05</f>
        <v>0.54999999999999993</v>
      </c>
      <c r="L12" s="11">
        <f>E12-(E12*K12)</f>
        <v>759.82500000000016</v>
      </c>
    </row>
    <row r="13" spans="1:12" x14ac:dyDescent="0.25">
      <c r="A13" s="1" t="s">
        <v>41</v>
      </c>
      <c r="B13" s="1" t="s">
        <v>42</v>
      </c>
      <c r="C13" s="1" t="s">
        <v>19</v>
      </c>
      <c r="D13" s="1" t="s">
        <v>16</v>
      </c>
      <c r="E13" s="5">
        <v>925.1</v>
      </c>
      <c r="F13" s="1">
        <v>6</v>
      </c>
      <c r="G13" s="7">
        <v>0.2</v>
      </c>
      <c r="H13" s="22">
        <v>45390</v>
      </c>
      <c r="I13" s="1" t="s">
        <v>101</v>
      </c>
      <c r="J13">
        <f>E13-(E13*G13)</f>
        <v>740.08</v>
      </c>
      <c r="K13" s="8">
        <f t="shared" si="2"/>
        <v>0.6</v>
      </c>
      <c r="L13" s="11">
        <f>E13-(E13*K13)</f>
        <v>370.04000000000008</v>
      </c>
    </row>
    <row r="14" spans="1:12" x14ac:dyDescent="0.25">
      <c r="A14" s="1" t="s">
        <v>43</v>
      </c>
      <c r="B14" s="1" t="s">
        <v>44</v>
      </c>
      <c r="C14" s="1" t="s">
        <v>23</v>
      </c>
      <c r="D14" s="1" t="s">
        <v>20</v>
      </c>
      <c r="E14" s="5">
        <v>540.95000000000005</v>
      </c>
      <c r="F14" s="1">
        <v>4</v>
      </c>
      <c r="G14" s="7">
        <v>0.05</v>
      </c>
      <c r="H14" s="22">
        <v>45422</v>
      </c>
      <c r="I14" s="1" t="s">
        <v>102</v>
      </c>
      <c r="J14">
        <f>E14-(E14*G14)</f>
        <v>513.90250000000003</v>
      </c>
      <c r="K14" s="8">
        <f t="shared" si="2"/>
        <v>0.65</v>
      </c>
      <c r="L14" s="11">
        <f>E14-(E14*K14)</f>
        <v>189.33249999999998</v>
      </c>
    </row>
    <row r="15" spans="1:12" x14ac:dyDescent="0.25">
      <c r="A15" s="1" t="s">
        <v>45</v>
      </c>
      <c r="B15" s="3" t="s">
        <v>46</v>
      </c>
      <c r="C15" s="1" t="s">
        <v>15</v>
      </c>
      <c r="D15" s="1" t="s">
        <v>34</v>
      </c>
      <c r="E15" s="5">
        <v>1378.4</v>
      </c>
      <c r="F15" s="1">
        <v>13</v>
      </c>
      <c r="G15" s="7">
        <v>0.15</v>
      </c>
      <c r="H15" s="22">
        <v>45455</v>
      </c>
      <c r="I15" s="1" t="s">
        <v>103</v>
      </c>
      <c r="J15">
        <f>E15-(E15*G15)</f>
        <v>1171.6400000000001</v>
      </c>
      <c r="K15" s="8">
        <f t="shared" si="2"/>
        <v>0.70000000000000007</v>
      </c>
      <c r="L15" s="11">
        <f>E15-(E15*K15)</f>
        <v>413.52</v>
      </c>
    </row>
    <row r="16" spans="1:12" x14ac:dyDescent="0.25">
      <c r="A16" s="1" t="s">
        <v>47</v>
      </c>
      <c r="B16" s="3" t="s">
        <v>48</v>
      </c>
      <c r="C16" s="1" t="s">
        <v>27</v>
      </c>
      <c r="D16" s="1" t="s">
        <v>12</v>
      </c>
      <c r="E16" s="5">
        <v>1189.6500000000001</v>
      </c>
      <c r="F16" s="1">
        <v>9</v>
      </c>
      <c r="G16" s="7">
        <v>0.1</v>
      </c>
      <c r="H16" s="22">
        <v>45488</v>
      </c>
      <c r="I16" s="1" t="s">
        <v>104</v>
      </c>
      <c r="J16">
        <f>E16-(E16*G16)</f>
        <v>1070.6850000000002</v>
      </c>
      <c r="K16" s="8">
        <f t="shared" si="2"/>
        <v>0.75000000000000011</v>
      </c>
      <c r="L16" s="11">
        <f>E16-(E16*K16)</f>
        <v>297.41249999999991</v>
      </c>
    </row>
    <row r="17" spans="1:12" x14ac:dyDescent="0.25">
      <c r="A17" s="1" t="s">
        <v>49</v>
      </c>
      <c r="B17" s="1" t="s">
        <v>50</v>
      </c>
      <c r="C17" s="1" t="s">
        <v>11</v>
      </c>
      <c r="D17" s="1" t="s">
        <v>16</v>
      </c>
      <c r="E17" s="5">
        <v>830.45</v>
      </c>
      <c r="F17" s="1">
        <v>5</v>
      </c>
      <c r="G17" s="7">
        <v>0</v>
      </c>
      <c r="H17" s="22">
        <v>45522</v>
      </c>
      <c r="I17" s="1" t="s">
        <v>105</v>
      </c>
      <c r="J17">
        <f>E17-(E17*G17)</f>
        <v>830.45</v>
      </c>
      <c r="K17" s="8">
        <f t="shared" si="2"/>
        <v>0.80000000000000016</v>
      </c>
      <c r="L17" s="11">
        <f>E17-(E17*K17)</f>
        <v>166.08999999999992</v>
      </c>
    </row>
    <row r="18" spans="1:12" x14ac:dyDescent="0.25">
      <c r="A18" s="1" t="s">
        <v>51</v>
      </c>
      <c r="B18" s="1" t="s">
        <v>52</v>
      </c>
      <c r="C18" s="1" t="s">
        <v>19</v>
      </c>
      <c r="D18" s="1" t="s">
        <v>20</v>
      </c>
      <c r="E18" s="5">
        <v>1015.8</v>
      </c>
      <c r="F18" s="1">
        <v>12</v>
      </c>
      <c r="G18" s="7">
        <v>0.05</v>
      </c>
      <c r="H18" s="22">
        <v>45555</v>
      </c>
      <c r="I18" s="1" t="s">
        <v>112</v>
      </c>
      <c r="J18">
        <f>E18-(E18*G18)</f>
        <v>965.01</v>
      </c>
      <c r="K18" s="8">
        <f t="shared" si="2"/>
        <v>0.8500000000000002</v>
      </c>
      <c r="L18" s="11">
        <f>E18-(E18*K18)</f>
        <v>152.36999999999978</v>
      </c>
    </row>
    <row r="19" spans="1:12" x14ac:dyDescent="0.25">
      <c r="A19" s="1" t="s">
        <v>53</v>
      </c>
      <c r="B19" s="3" t="s">
        <v>54</v>
      </c>
      <c r="C19" s="1" t="s">
        <v>23</v>
      </c>
      <c r="D19" s="1" t="s">
        <v>24</v>
      </c>
      <c r="E19" s="5">
        <v>1498.3</v>
      </c>
      <c r="F19" s="1">
        <v>16</v>
      </c>
      <c r="G19" s="7">
        <v>0.1</v>
      </c>
      <c r="H19" s="22">
        <v>45588</v>
      </c>
      <c r="I19" s="1" t="s">
        <v>113</v>
      </c>
      <c r="J19">
        <f>E19-(E19*G19)</f>
        <v>1348.47</v>
      </c>
      <c r="K19" s="8">
        <f t="shared" si="2"/>
        <v>0.90000000000000024</v>
      </c>
      <c r="L19" s="11">
        <f>E19-(E19*K19)</f>
        <v>149.8299999999997</v>
      </c>
    </row>
    <row r="20" spans="1:12" x14ac:dyDescent="0.25">
      <c r="A20" s="1" t="s">
        <v>55</v>
      </c>
      <c r="B20" s="3" t="s">
        <v>56</v>
      </c>
      <c r="C20" s="1" t="s">
        <v>15</v>
      </c>
      <c r="D20" s="1" t="s">
        <v>12</v>
      </c>
      <c r="E20" s="5">
        <v>1780.9</v>
      </c>
      <c r="F20" s="1">
        <v>19</v>
      </c>
      <c r="G20" s="7">
        <v>0.05</v>
      </c>
      <c r="H20" s="22">
        <v>45622</v>
      </c>
      <c r="I20" s="1" t="s">
        <v>114</v>
      </c>
      <c r="J20">
        <f>E20-(E20*G20)</f>
        <v>1691.855</v>
      </c>
      <c r="K20" s="8">
        <f t="shared" si="2"/>
        <v>0.95000000000000029</v>
      </c>
      <c r="L20" s="11">
        <f>E20-(E20*K20)</f>
        <v>89.044999999999391</v>
      </c>
    </row>
    <row r="21" spans="1:12" x14ac:dyDescent="0.25">
      <c r="A21" s="1" t="s">
        <v>57</v>
      </c>
      <c r="B21" s="1" t="s">
        <v>58</v>
      </c>
      <c r="C21" s="1" t="s">
        <v>27</v>
      </c>
      <c r="D21" s="1" t="s">
        <v>16</v>
      </c>
      <c r="E21" s="5">
        <v>690.75</v>
      </c>
      <c r="F21" s="1">
        <v>7</v>
      </c>
      <c r="G21" s="7">
        <v>0.2</v>
      </c>
      <c r="H21" s="22">
        <v>45655</v>
      </c>
      <c r="I21" s="1" t="s">
        <v>115</v>
      </c>
      <c r="J21">
        <f t="shared" si="0"/>
        <v>552.6</v>
      </c>
      <c r="K21" s="8">
        <f>K20+0.05</f>
        <v>1.0000000000000002</v>
      </c>
      <c r="L21" s="11">
        <f t="shared" si="1"/>
        <v>0</v>
      </c>
    </row>
    <row r="22" spans="1:12" x14ac:dyDescent="0.25">
      <c r="K22"/>
    </row>
  </sheetData>
  <phoneticPr fontId="8" type="noConversion"/>
  <conditionalFormatting sqref="E1:E1048576">
    <cfRule type="top10" dxfId="2" priority="3" rank="10"/>
  </conditionalFormatting>
  <conditionalFormatting sqref="L2:L21">
    <cfRule type="top10" dxfId="1" priority="1" bottom="1" rank="10"/>
    <cfRule type="top10" dxfId="0" priority="2" rank="10"/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05C7FFA0-8D90-4767-A5D3-253CB26608CB}">
          <xm:f>' Dataset &amp;cf'!1:1048576</xm:f>
        </x15:webExtension>
        <x15:webExtension appRef="{4B5043F7-B44F-4EED-BF93-B29633B17A44}">
          <xm:f>' Dataset &amp;cf'!$J:$J</xm:f>
        </x15:webExtension>
        <x15:webExtension appRef="{725BE4DB-50DF-4C01-86EE-FF3A133F4B96}">
          <xm:f>' Dataset &amp;cf'!$E:$E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1392-7D79-470F-935D-50CAD0636A7B}">
  <dimension ref="B2:J19"/>
  <sheetViews>
    <sheetView workbookViewId="0">
      <selection activeCell="F6" sqref="F6"/>
    </sheetView>
  </sheetViews>
  <sheetFormatPr defaultRowHeight="15" x14ac:dyDescent="0.25"/>
  <cols>
    <col min="1" max="1" width="16" customWidth="1"/>
    <col min="2" max="2" width="17.140625" customWidth="1"/>
    <col min="3" max="3" width="15.85546875" customWidth="1"/>
    <col min="4" max="4" width="17.7109375" customWidth="1"/>
    <col min="5" max="5" width="11.85546875" customWidth="1"/>
    <col min="6" max="6" width="15.140625" customWidth="1"/>
    <col min="7" max="7" width="16.28515625" customWidth="1"/>
    <col min="8" max="8" width="13.5703125" customWidth="1"/>
    <col min="9" max="10" width="13.42578125" customWidth="1"/>
  </cols>
  <sheetData>
    <row r="2" spans="2:10" x14ac:dyDescent="0.25">
      <c r="B2" s="19" t="s">
        <v>63</v>
      </c>
      <c r="C2" s="19"/>
      <c r="D2" s="19"/>
      <c r="E2" s="19"/>
      <c r="F2" s="19"/>
      <c r="G2" s="19"/>
      <c r="H2" s="19"/>
      <c r="I2" s="19"/>
      <c r="J2" s="19"/>
    </row>
    <row r="3" spans="2:10" ht="15.75" thickBot="1" x14ac:dyDescent="0.3"/>
    <row r="4" spans="2:10" x14ac:dyDescent="0.25">
      <c r="B4" s="18" t="s">
        <v>64</v>
      </c>
      <c r="C4" s="18"/>
    </row>
    <row r="5" spans="2:10" x14ac:dyDescent="0.25">
      <c r="B5" s="15" t="s">
        <v>65</v>
      </c>
      <c r="C5" s="15">
        <v>0.9865117371601767</v>
      </c>
    </row>
    <row r="6" spans="2:10" x14ac:dyDescent="0.25">
      <c r="B6" s="15" t="s">
        <v>66</v>
      </c>
      <c r="C6" s="15">
        <v>0.97320540755478946</v>
      </c>
    </row>
    <row r="7" spans="2:10" x14ac:dyDescent="0.25">
      <c r="B7" s="15" t="s">
        <v>67</v>
      </c>
      <c r="C7" s="15">
        <v>0.97171681908561114</v>
      </c>
    </row>
    <row r="8" spans="2:10" x14ac:dyDescent="0.25">
      <c r="B8" s="15" t="s">
        <v>68</v>
      </c>
      <c r="C8" s="15">
        <v>60.428254784497767</v>
      </c>
    </row>
    <row r="9" spans="2:10" ht="15.75" thickBot="1" x14ac:dyDescent="0.3">
      <c r="B9" s="16" t="s">
        <v>69</v>
      </c>
      <c r="C9" s="16">
        <v>20</v>
      </c>
    </row>
    <row r="11" spans="2:10" ht="15.75" thickBot="1" x14ac:dyDescent="0.3">
      <c r="B11" t="s">
        <v>70</v>
      </c>
    </row>
    <row r="12" spans="2:10" x14ac:dyDescent="0.25">
      <c r="B12" s="17"/>
      <c r="C12" s="17" t="s">
        <v>75</v>
      </c>
      <c r="D12" s="17" t="s">
        <v>76</v>
      </c>
      <c r="E12" s="17" t="s">
        <v>77</v>
      </c>
      <c r="F12" s="17" t="s">
        <v>78</v>
      </c>
      <c r="G12" s="17" t="s">
        <v>79</v>
      </c>
    </row>
    <row r="13" spans="2:10" x14ac:dyDescent="0.25">
      <c r="B13" s="15" t="s">
        <v>71</v>
      </c>
      <c r="C13" s="15">
        <v>1</v>
      </c>
      <c r="D13" s="15">
        <v>2387316.3156927973</v>
      </c>
      <c r="E13" s="15">
        <v>2387316.3156927973</v>
      </c>
      <c r="F13" s="15">
        <v>653.7773385359859</v>
      </c>
      <c r="G13" s="15">
        <v>1.3365990352992678E-15</v>
      </c>
    </row>
    <row r="14" spans="2:10" x14ac:dyDescent="0.25">
      <c r="B14" s="15" t="s">
        <v>72</v>
      </c>
      <c r="C14" s="15">
        <v>18</v>
      </c>
      <c r="D14" s="15">
        <v>65728.331573403193</v>
      </c>
      <c r="E14" s="15">
        <v>3651.5739763001775</v>
      </c>
      <c r="F14" s="15"/>
      <c r="G14" s="15"/>
    </row>
    <row r="15" spans="2:10" ht="15.75" thickBot="1" x14ac:dyDescent="0.3">
      <c r="B15" s="16" t="s">
        <v>73</v>
      </c>
      <c r="C15" s="16">
        <v>19</v>
      </c>
      <c r="D15" s="16">
        <v>2453044.6472662003</v>
      </c>
      <c r="E15" s="16"/>
      <c r="F15" s="16"/>
      <c r="G15" s="16"/>
    </row>
    <row r="16" spans="2:10" ht="15.75" thickBot="1" x14ac:dyDescent="0.3"/>
    <row r="17" spans="2:10" x14ac:dyDescent="0.25">
      <c r="B17" s="17"/>
      <c r="C17" s="17" t="s">
        <v>80</v>
      </c>
      <c r="D17" s="17" t="s">
        <v>68</v>
      </c>
      <c r="E17" s="17" t="s">
        <v>81</v>
      </c>
      <c r="F17" s="17" t="s">
        <v>82</v>
      </c>
      <c r="G17" s="17" t="s">
        <v>83</v>
      </c>
      <c r="H17" s="17" t="s">
        <v>84</v>
      </c>
      <c r="I17" s="17" t="s">
        <v>85</v>
      </c>
      <c r="J17" s="17" t="s">
        <v>86</v>
      </c>
    </row>
    <row r="18" spans="2:10" x14ac:dyDescent="0.25">
      <c r="B18" s="15" t="s">
        <v>74</v>
      </c>
      <c r="C18" s="15">
        <v>-86.990110965081385</v>
      </c>
      <c r="D18" s="15">
        <v>45.293109392329114</v>
      </c>
      <c r="E18" s="15">
        <v>-1.9206036443992542</v>
      </c>
      <c r="F18" s="15">
        <v>7.0767320927164964E-2</v>
      </c>
      <c r="G18" s="15">
        <v>-182.14740275847396</v>
      </c>
      <c r="H18" s="15">
        <v>8.1671808283112028</v>
      </c>
      <c r="I18" s="15">
        <v>-182.14740275847396</v>
      </c>
      <c r="J18" s="15">
        <v>8.1671808283112028</v>
      </c>
    </row>
    <row r="19" spans="2:10" ht="15.75" thickBot="1" x14ac:dyDescent="0.3">
      <c r="B19" s="16" t="s">
        <v>4</v>
      </c>
      <c r="C19" s="16">
        <v>0.98985215439888585</v>
      </c>
      <c r="D19" s="16">
        <v>3.8712872858126163E-2</v>
      </c>
      <c r="E19" s="16">
        <v>25.569069958369351</v>
      </c>
      <c r="F19" s="16">
        <v>1.3365990352992678E-15</v>
      </c>
      <c r="G19" s="16">
        <v>0.90851942657019957</v>
      </c>
      <c r="H19" s="16">
        <v>1.0711848822275722</v>
      </c>
      <c r="I19" s="16">
        <v>0.90851942657019957</v>
      </c>
      <c r="J19" s="16">
        <v>1.0711848822275722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D8BE-5156-440C-87AE-28EC89AF26D4}">
  <dimension ref="B2:G17"/>
  <sheetViews>
    <sheetView tabSelected="1" workbookViewId="0">
      <selection activeCell="O5" sqref="O5"/>
    </sheetView>
  </sheetViews>
  <sheetFormatPr defaultRowHeight="15" x14ac:dyDescent="0.25"/>
  <cols>
    <col min="1" max="1" width="17.85546875" customWidth="1"/>
    <col min="2" max="2" width="18.5703125" style="1" customWidth="1"/>
    <col min="3" max="3" width="16.5703125" customWidth="1"/>
    <col min="6" max="6" width="22" customWidth="1"/>
    <col min="7" max="7" width="18.28515625" customWidth="1"/>
  </cols>
  <sheetData>
    <row r="2" spans="6:7" ht="15.75" thickBot="1" x14ac:dyDescent="0.3"/>
    <row r="3" spans="6:7" x14ac:dyDescent="0.25">
      <c r="F3" s="38" t="s">
        <v>133</v>
      </c>
      <c r="G3" s="38"/>
    </row>
    <row r="4" spans="6:7" x14ac:dyDescent="0.25">
      <c r="F4" s="39"/>
      <c r="G4" s="39"/>
    </row>
    <row r="5" spans="6:7" x14ac:dyDescent="0.25">
      <c r="F5" s="15" t="s">
        <v>87</v>
      </c>
      <c r="G5" s="20">
        <v>1116.6990000000001</v>
      </c>
    </row>
    <row r="6" spans="6:7" x14ac:dyDescent="0.25">
      <c r="F6" s="15" t="s">
        <v>68</v>
      </c>
      <c r="G6" s="20">
        <v>80.074244929315242</v>
      </c>
    </row>
    <row r="7" spans="6:7" x14ac:dyDescent="0.25">
      <c r="F7" s="15" t="s">
        <v>88</v>
      </c>
      <c r="G7" s="20">
        <v>1070.3249999999998</v>
      </c>
    </row>
    <row r="8" spans="6:7" x14ac:dyDescent="0.25">
      <c r="F8" s="15" t="s">
        <v>89</v>
      </c>
      <c r="G8" s="20" t="e">
        <v>#N/A</v>
      </c>
    </row>
    <row r="9" spans="6:7" x14ac:dyDescent="0.25">
      <c r="F9" s="15" t="s">
        <v>90</v>
      </c>
      <c r="G9" s="20">
        <v>358.10290981783345</v>
      </c>
    </row>
    <row r="10" spans="6:7" x14ac:dyDescent="0.25">
      <c r="F10" s="15" t="s">
        <v>91</v>
      </c>
      <c r="G10" s="20">
        <v>128237.69401999936</v>
      </c>
    </row>
    <row r="11" spans="6:7" x14ac:dyDescent="0.25">
      <c r="F11" s="15" t="s">
        <v>92</v>
      </c>
      <c r="G11" s="20">
        <v>-0.95753346816251161</v>
      </c>
    </row>
    <row r="12" spans="6:7" x14ac:dyDescent="0.25">
      <c r="F12" s="15" t="s">
        <v>93</v>
      </c>
      <c r="G12" s="20">
        <v>0.27087271660904927</v>
      </c>
    </row>
    <row r="13" spans="6:7" x14ac:dyDescent="0.25">
      <c r="F13" s="15" t="s">
        <v>94</v>
      </c>
      <c r="G13" s="20">
        <v>1239.95</v>
      </c>
    </row>
    <row r="14" spans="6:7" x14ac:dyDescent="0.25">
      <c r="F14" s="15" t="s">
        <v>95</v>
      </c>
      <c r="G14" s="20">
        <v>540.95000000000005</v>
      </c>
    </row>
    <row r="15" spans="6:7" x14ac:dyDescent="0.25">
      <c r="F15" s="15" t="s">
        <v>96</v>
      </c>
      <c r="G15" s="20">
        <v>1780.9</v>
      </c>
    </row>
    <row r="16" spans="6:7" x14ac:dyDescent="0.25">
      <c r="F16" s="15" t="s">
        <v>97</v>
      </c>
      <c r="G16" s="20">
        <v>22333.980000000003</v>
      </c>
    </row>
    <row r="17" spans="6:7" ht="15.75" thickBot="1" x14ac:dyDescent="0.3">
      <c r="F17" s="16" t="s">
        <v>98</v>
      </c>
      <c r="G17" s="21">
        <v>20</v>
      </c>
    </row>
  </sheetData>
  <mergeCells count="1">
    <mergeCell ref="F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F341-93E6-4FEC-9511-2936B39B02EA}">
  <dimension ref="B3:H18"/>
  <sheetViews>
    <sheetView workbookViewId="0">
      <selection activeCell="M34" sqref="M34"/>
    </sheetView>
  </sheetViews>
  <sheetFormatPr defaultRowHeight="15" x14ac:dyDescent="0.25"/>
  <cols>
    <col min="1" max="1" width="16.85546875" customWidth="1"/>
    <col min="2" max="2" width="17.140625" customWidth="1"/>
    <col min="3" max="3" width="15.85546875" customWidth="1"/>
    <col min="4" max="4" width="13.5703125" customWidth="1"/>
  </cols>
  <sheetData>
    <row r="3" spans="2:4" x14ac:dyDescent="0.25">
      <c r="B3" s="14" t="s">
        <v>110</v>
      </c>
      <c r="C3" t="s">
        <v>61</v>
      </c>
      <c r="D3" s="24" t="s">
        <v>111</v>
      </c>
    </row>
    <row r="4" spans="2:4" x14ac:dyDescent="0.25">
      <c r="B4" s="13" t="s">
        <v>100</v>
      </c>
      <c r="C4" s="11">
        <v>3006.0299999999997</v>
      </c>
      <c r="D4" s="23">
        <f>(C5-C4)/C4</f>
        <v>-0.41101718878387766</v>
      </c>
    </row>
    <row r="5" spans="2:4" x14ac:dyDescent="0.25">
      <c r="B5" s="13" t="s">
        <v>101</v>
      </c>
      <c r="C5" s="11">
        <v>1770.5</v>
      </c>
      <c r="D5" s="23">
        <f t="shared" ref="D5:D13" si="0">(C6-C5)/C5</f>
        <v>-0.31270827449872923</v>
      </c>
    </row>
    <row r="6" spans="2:4" x14ac:dyDescent="0.25">
      <c r="B6" s="13" t="s">
        <v>102</v>
      </c>
      <c r="C6" s="11">
        <v>1216.8499999999999</v>
      </c>
      <c r="D6" s="23">
        <f t="shared" si="0"/>
        <v>1.3985289887825125</v>
      </c>
    </row>
    <row r="7" spans="2:4" x14ac:dyDescent="0.25">
      <c r="B7" s="13" t="s">
        <v>103</v>
      </c>
      <c r="C7" s="11">
        <v>2918.65</v>
      </c>
      <c r="D7" s="23">
        <f t="shared" si="0"/>
        <v>-0.25662549466362872</v>
      </c>
    </row>
    <row r="8" spans="2:4" x14ac:dyDescent="0.25">
      <c r="B8" s="13" t="s">
        <v>104</v>
      </c>
      <c r="C8" s="11">
        <v>2169.65</v>
      </c>
      <c r="D8" s="23">
        <f t="shared" si="0"/>
        <v>-6.1576752010693028E-2</v>
      </c>
    </row>
    <row r="9" spans="2:4" x14ac:dyDescent="0.25">
      <c r="B9" s="13" t="s">
        <v>105</v>
      </c>
      <c r="C9" s="11">
        <v>2036.05</v>
      </c>
      <c r="D9" s="23">
        <f t="shared" si="0"/>
        <v>-6.3898234326269066E-2</v>
      </c>
    </row>
    <row r="10" spans="2:4" x14ac:dyDescent="0.25">
      <c r="B10" s="13" t="s">
        <v>112</v>
      </c>
      <c r="C10" s="11">
        <v>1905.9499999999998</v>
      </c>
      <c r="D10" s="23">
        <f t="shared" si="0"/>
        <v>0.18502584013221759</v>
      </c>
    </row>
    <row r="11" spans="2:4" x14ac:dyDescent="0.25">
      <c r="B11" s="13" t="s">
        <v>113</v>
      </c>
      <c r="C11" s="11">
        <v>2258.6</v>
      </c>
      <c r="D11" s="23">
        <f t="shared" si="0"/>
        <v>0.43279022403258677</v>
      </c>
    </row>
    <row r="12" spans="2:4" x14ac:dyDescent="0.25">
      <c r="B12" s="13" t="s">
        <v>114</v>
      </c>
      <c r="C12" s="11">
        <v>3236.1000000000004</v>
      </c>
      <c r="D12" s="23">
        <f t="shared" si="0"/>
        <v>-0.43895429683878751</v>
      </c>
    </row>
    <row r="13" spans="2:4" x14ac:dyDescent="0.25">
      <c r="B13" s="13" t="s">
        <v>115</v>
      </c>
      <c r="C13" s="11">
        <v>1815.6</v>
      </c>
      <c r="D13" s="23">
        <f t="shared" si="0"/>
        <v>11.301156642432252</v>
      </c>
    </row>
    <row r="14" spans="2:4" x14ac:dyDescent="0.25">
      <c r="B14" s="13" t="s">
        <v>62</v>
      </c>
      <c r="C14" s="11">
        <v>22333.979999999996</v>
      </c>
    </row>
    <row r="17" spans="3:8" ht="15.75" thickBot="1" x14ac:dyDescent="0.3">
      <c r="C17" s="26" t="s">
        <v>116</v>
      </c>
      <c r="D17" s="26" t="s">
        <v>117</v>
      </c>
      <c r="F17" s="34" t="s">
        <v>134</v>
      </c>
      <c r="G17" s="34"/>
      <c r="H17" s="34"/>
    </row>
    <row r="18" spans="3:8" x14ac:dyDescent="0.25">
      <c r="C18" s="25">
        <f ca="1">NOW()</f>
        <v>46202.502742476849</v>
      </c>
      <c r="D18">
        <f>SUMIF(' Dataset &amp;cf'!A2:A21,' Dataset &amp;cf'!A14,' Dataset &amp;cf'!E2:E21)</f>
        <v>540.95000000000005</v>
      </c>
      <c r="F18" s="35" t="str">
        <f>INDEX(' Dataset &amp;cf'!B2:B21,MATCH(MAX(' Dataset &amp;cf'!J2:J21),' Dataset &amp;cf'!J2:J21,0))</f>
        <v>Sarah Wilson</v>
      </c>
      <c r="G18" s="35"/>
      <c r="H18" s="35"/>
    </row>
  </sheetData>
  <mergeCells count="2">
    <mergeCell ref="F17:H17"/>
    <mergeCell ref="F18:H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8C3D-9AC9-40CB-A270-F3312E70560C}">
  <dimension ref="A3:B25"/>
  <sheetViews>
    <sheetView workbookViewId="0">
      <selection activeCell="O11" sqref="O11"/>
    </sheetView>
  </sheetViews>
  <sheetFormatPr defaultRowHeight="15" x14ac:dyDescent="0.25"/>
  <cols>
    <col min="1" max="1" width="18" bestFit="1" customWidth="1"/>
    <col min="2" max="2" width="12.5703125" bestFit="1" customWidth="1"/>
  </cols>
  <sheetData>
    <row r="3" spans="1:2" x14ac:dyDescent="0.25">
      <c r="A3" s="14" t="s">
        <v>110</v>
      </c>
      <c r="B3" t="s">
        <v>61</v>
      </c>
    </row>
    <row r="4" spans="1:2" x14ac:dyDescent="0.25">
      <c r="A4" s="13" t="s">
        <v>27</v>
      </c>
      <c r="B4" s="11">
        <v>3985.25</v>
      </c>
    </row>
    <row r="5" spans="1:2" x14ac:dyDescent="0.25">
      <c r="A5" s="27" t="s">
        <v>12</v>
      </c>
      <c r="B5" s="11">
        <v>2169.65</v>
      </c>
    </row>
    <row r="6" spans="1:2" x14ac:dyDescent="0.25">
      <c r="A6" s="27" t="s">
        <v>16</v>
      </c>
      <c r="B6" s="11">
        <v>690.75</v>
      </c>
    </row>
    <row r="7" spans="1:2" x14ac:dyDescent="0.25">
      <c r="A7" s="27" t="s">
        <v>24</v>
      </c>
      <c r="B7" s="11">
        <v>1124.8499999999999</v>
      </c>
    </row>
    <row r="8" spans="1:2" x14ac:dyDescent="0.25">
      <c r="A8" s="13" t="s">
        <v>23</v>
      </c>
      <c r="B8" s="11">
        <v>4469.6499999999996</v>
      </c>
    </row>
    <row r="9" spans="1:2" x14ac:dyDescent="0.25">
      <c r="A9" s="27" t="s">
        <v>20</v>
      </c>
      <c r="B9" s="11">
        <v>540.95000000000005</v>
      </c>
    </row>
    <row r="10" spans="1:2" x14ac:dyDescent="0.25">
      <c r="A10" s="27" t="s">
        <v>16</v>
      </c>
      <c r="B10" s="11">
        <v>890.15</v>
      </c>
    </row>
    <row r="11" spans="1:2" x14ac:dyDescent="0.25">
      <c r="A11" s="27" t="s">
        <v>24</v>
      </c>
      <c r="B11" s="11">
        <v>3038.55</v>
      </c>
    </row>
    <row r="12" spans="1:2" x14ac:dyDescent="0.25">
      <c r="A12" s="13" t="s">
        <v>15</v>
      </c>
      <c r="B12" s="11">
        <v>5459.9</v>
      </c>
    </row>
    <row r="13" spans="1:2" x14ac:dyDescent="0.25">
      <c r="A13" s="27" t="s">
        <v>20</v>
      </c>
      <c r="B13" s="11">
        <v>1455.2</v>
      </c>
    </row>
    <row r="14" spans="1:2" x14ac:dyDescent="0.25">
      <c r="A14" s="27" t="s">
        <v>34</v>
      </c>
      <c r="B14" s="11">
        <v>1378.4</v>
      </c>
    </row>
    <row r="15" spans="1:2" x14ac:dyDescent="0.25">
      <c r="A15" s="27" t="s">
        <v>12</v>
      </c>
      <c r="B15" s="11">
        <v>1780.9</v>
      </c>
    </row>
    <row r="16" spans="1:2" x14ac:dyDescent="0.25">
      <c r="A16" s="27" t="s">
        <v>16</v>
      </c>
      <c r="B16" s="11">
        <v>845.4</v>
      </c>
    </row>
    <row r="17" spans="1:2" x14ac:dyDescent="0.25">
      <c r="A17" s="13" t="s">
        <v>19</v>
      </c>
      <c r="B17" s="11">
        <v>3377.1</v>
      </c>
    </row>
    <row r="18" spans="1:2" x14ac:dyDescent="0.25">
      <c r="A18" s="27" t="s">
        <v>20</v>
      </c>
      <c r="B18" s="11">
        <v>1691.6999999999998</v>
      </c>
    </row>
    <row r="19" spans="1:2" x14ac:dyDescent="0.25">
      <c r="A19" s="27" t="s">
        <v>34</v>
      </c>
      <c r="B19" s="11">
        <v>760.3</v>
      </c>
    </row>
    <row r="20" spans="1:2" x14ac:dyDescent="0.25">
      <c r="A20" s="27" t="s">
        <v>16</v>
      </c>
      <c r="B20" s="11">
        <v>925.1</v>
      </c>
    </row>
    <row r="21" spans="1:2" x14ac:dyDescent="0.25">
      <c r="A21" s="13" t="s">
        <v>11</v>
      </c>
      <c r="B21" s="11">
        <v>5042.079999999999</v>
      </c>
    </row>
    <row r="22" spans="1:2" x14ac:dyDescent="0.25">
      <c r="A22" s="27" t="s">
        <v>20</v>
      </c>
      <c r="B22" s="11">
        <v>1205.5999999999999</v>
      </c>
    </row>
    <row r="23" spans="1:2" x14ac:dyDescent="0.25">
      <c r="A23" s="27" t="s">
        <v>12</v>
      </c>
      <c r="B23" s="11">
        <v>3006.0299999999997</v>
      </c>
    </row>
    <row r="24" spans="1:2" x14ac:dyDescent="0.25">
      <c r="A24" s="27" t="s">
        <v>16</v>
      </c>
      <c r="B24" s="11">
        <v>830.45</v>
      </c>
    </row>
    <row r="25" spans="1:2" x14ac:dyDescent="0.25">
      <c r="A25" s="13" t="s">
        <v>62</v>
      </c>
      <c r="B25" s="11">
        <v>22333.979999999996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B740-9730-4A65-840E-46C69AE5B66B}">
  <dimension ref="D1:S28"/>
  <sheetViews>
    <sheetView showGridLines="0" workbookViewId="0">
      <selection activeCell="V29" sqref="V29"/>
    </sheetView>
  </sheetViews>
  <sheetFormatPr defaultRowHeight="15" x14ac:dyDescent="0.25"/>
  <cols>
    <col min="1" max="1" width="13.42578125" bestFit="1" customWidth="1"/>
    <col min="2" max="2" width="12.5703125" bestFit="1" customWidth="1"/>
    <col min="4" max="4" width="14.42578125" customWidth="1"/>
    <col min="5" max="5" width="16" customWidth="1"/>
    <col min="11" max="11" width="10.7109375" customWidth="1"/>
    <col min="12" max="12" width="12.5703125" bestFit="1" customWidth="1"/>
    <col min="13" max="13" width="14.28515625" bestFit="1" customWidth="1"/>
    <col min="14" max="14" width="12.5703125" bestFit="1" customWidth="1"/>
    <col min="18" max="18" width="17" customWidth="1"/>
    <col min="19" max="19" width="12.28515625" customWidth="1"/>
  </cols>
  <sheetData>
    <row r="1" spans="8:16" ht="15" customHeight="1" x14ac:dyDescent="0.25"/>
    <row r="2" spans="8:16" ht="15" customHeight="1" x14ac:dyDescent="0.25">
      <c r="H2" s="36" t="s">
        <v>132</v>
      </c>
      <c r="I2" s="37"/>
      <c r="J2" s="37"/>
      <c r="K2" s="37"/>
      <c r="L2" s="37"/>
      <c r="M2" s="37"/>
      <c r="N2" s="37"/>
      <c r="O2" s="37"/>
      <c r="P2" s="37"/>
    </row>
    <row r="3" spans="8:16" ht="15" customHeight="1" x14ac:dyDescent="0.25">
      <c r="H3" s="36"/>
      <c r="I3" s="37"/>
      <c r="J3" s="37"/>
      <c r="K3" s="37"/>
      <c r="L3" s="37"/>
      <c r="M3" s="37"/>
      <c r="N3" s="37"/>
      <c r="O3" s="37"/>
      <c r="P3" s="37"/>
    </row>
    <row r="7" spans="8:16" x14ac:dyDescent="0.25">
      <c r="L7" s="14" t="s">
        <v>110</v>
      </c>
      <c r="M7" t="s">
        <v>61</v>
      </c>
    </row>
    <row r="8" spans="8:16" x14ac:dyDescent="0.25">
      <c r="L8" s="13" t="s">
        <v>118</v>
      </c>
      <c r="M8" s="11">
        <v>3006.0299999999997</v>
      </c>
    </row>
    <row r="9" spans="8:16" x14ac:dyDescent="0.25">
      <c r="L9" s="13" t="s">
        <v>119</v>
      </c>
      <c r="M9" s="11">
        <v>1770.5</v>
      </c>
    </row>
    <row r="10" spans="8:16" x14ac:dyDescent="0.25">
      <c r="L10" s="13" t="s">
        <v>102</v>
      </c>
      <c r="M10" s="11">
        <v>1216.8499999999999</v>
      </c>
    </row>
    <row r="11" spans="8:16" x14ac:dyDescent="0.25">
      <c r="L11" s="13" t="s">
        <v>120</v>
      </c>
      <c r="M11" s="11">
        <v>2918.65</v>
      </c>
    </row>
    <row r="12" spans="8:16" x14ac:dyDescent="0.25">
      <c r="L12" s="13" t="s">
        <v>121</v>
      </c>
      <c r="M12" s="11">
        <v>2169.65</v>
      </c>
    </row>
    <row r="13" spans="8:16" x14ac:dyDescent="0.25">
      <c r="L13" s="13" t="s">
        <v>122</v>
      </c>
      <c r="M13" s="11">
        <v>2036.05</v>
      </c>
    </row>
    <row r="14" spans="8:16" x14ac:dyDescent="0.25">
      <c r="L14" s="13" t="s">
        <v>106</v>
      </c>
      <c r="M14" s="11">
        <v>1905.9499999999998</v>
      </c>
    </row>
    <row r="15" spans="8:16" x14ac:dyDescent="0.25">
      <c r="L15" s="13" t="s">
        <v>107</v>
      </c>
      <c r="M15" s="11">
        <v>2258.6</v>
      </c>
    </row>
    <row r="16" spans="8:16" x14ac:dyDescent="0.25">
      <c r="L16" s="13" t="s">
        <v>108</v>
      </c>
      <c r="M16" s="11">
        <v>3236.1000000000004</v>
      </c>
    </row>
    <row r="17" spans="4:19" x14ac:dyDescent="0.25">
      <c r="L17" s="13" t="s">
        <v>109</v>
      </c>
      <c r="M17" s="11">
        <v>1815.6</v>
      </c>
    </row>
    <row r="18" spans="4:19" x14ac:dyDescent="0.25">
      <c r="L18" s="13" t="s">
        <v>62</v>
      </c>
      <c r="M18" s="11">
        <v>22333.979999999996</v>
      </c>
    </row>
    <row r="22" spans="4:19" x14ac:dyDescent="0.25">
      <c r="D22" s="14" t="s">
        <v>110</v>
      </c>
      <c r="E22" t="s">
        <v>61</v>
      </c>
      <c r="R22" s="14" t="s">
        <v>110</v>
      </c>
      <c r="S22" t="s">
        <v>61</v>
      </c>
    </row>
    <row r="23" spans="4:19" x14ac:dyDescent="0.25">
      <c r="D23" s="13" t="s">
        <v>27</v>
      </c>
      <c r="E23" s="11">
        <v>3985.25</v>
      </c>
      <c r="R23" s="13" t="s">
        <v>20</v>
      </c>
      <c r="S23" s="11">
        <v>4893.45</v>
      </c>
    </row>
    <row r="24" spans="4:19" x14ac:dyDescent="0.25">
      <c r="D24" s="13" t="s">
        <v>23</v>
      </c>
      <c r="E24" s="11">
        <v>4469.6500000000005</v>
      </c>
      <c r="R24" s="13" t="s">
        <v>34</v>
      </c>
      <c r="S24" s="11">
        <v>2138.6999999999998</v>
      </c>
    </row>
    <row r="25" spans="4:19" x14ac:dyDescent="0.25">
      <c r="D25" s="13" t="s">
        <v>15</v>
      </c>
      <c r="E25" s="11">
        <v>5459.9</v>
      </c>
      <c r="R25" s="13" t="s">
        <v>12</v>
      </c>
      <c r="S25" s="11">
        <v>6956.58</v>
      </c>
    </row>
    <row r="26" spans="4:19" x14ac:dyDescent="0.25">
      <c r="D26" s="13" t="s">
        <v>19</v>
      </c>
      <c r="E26" s="11">
        <v>3377.0999999999995</v>
      </c>
      <c r="R26" s="13" t="s">
        <v>16</v>
      </c>
      <c r="S26" s="11">
        <v>4181.8500000000004</v>
      </c>
    </row>
    <row r="27" spans="4:19" x14ac:dyDescent="0.25">
      <c r="D27" s="13" t="s">
        <v>11</v>
      </c>
      <c r="E27" s="11">
        <v>5042.08</v>
      </c>
      <c r="R27" s="13" t="s">
        <v>24</v>
      </c>
      <c r="S27" s="11">
        <v>4163.3999999999996</v>
      </c>
    </row>
    <row r="28" spans="4:19" x14ac:dyDescent="0.25">
      <c r="D28" s="13" t="s">
        <v>62</v>
      </c>
      <c r="E28" s="11">
        <v>22333.980000000003</v>
      </c>
      <c r="R28" s="13" t="s">
        <v>62</v>
      </c>
      <c r="S28" s="11">
        <v>22333.980000000003</v>
      </c>
    </row>
  </sheetData>
  <mergeCells count="1">
    <mergeCell ref="H2:P3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3FA-C78A-40D3-B005-FB10623AADD6}">
  <dimension ref="B3:W32"/>
  <sheetViews>
    <sheetView showGridLines="0" workbookViewId="0">
      <selection activeCell="W46" sqref="W46"/>
    </sheetView>
  </sheetViews>
  <sheetFormatPr defaultRowHeight="15" x14ac:dyDescent="0.25"/>
  <sheetData>
    <row r="3" spans="2:23" ht="15" customHeight="1" x14ac:dyDescent="0.25">
      <c r="B3" s="28" t="s">
        <v>123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2:23" ht="15" customHeight="1" x14ac:dyDescent="0.2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7" spans="2:23" x14ac:dyDescent="0.25">
      <c r="D7" s="29" t="s">
        <v>124</v>
      </c>
      <c r="E7" s="29"/>
      <c r="G7" s="29" t="s">
        <v>125</v>
      </c>
      <c r="H7" s="29"/>
      <c r="J7" s="29" t="s">
        <v>126</v>
      </c>
      <c r="K7" s="29"/>
      <c r="M7" s="29" t="s">
        <v>127</v>
      </c>
      <c r="N7" s="29"/>
      <c r="P7" s="29" t="s">
        <v>128</v>
      </c>
      <c r="Q7" s="29"/>
      <c r="S7" s="29" t="s">
        <v>129</v>
      </c>
      <c r="T7" s="29"/>
    </row>
    <row r="8" spans="2:23" x14ac:dyDescent="0.25">
      <c r="D8" s="30">
        <f>SUM(' Dataset &amp;cf'!E2:E21)</f>
        <v>22333.980000000003</v>
      </c>
      <c r="E8" s="30"/>
      <c r="G8" s="32">
        <f>SUM(' Dataset &amp;cf'!J2:J21)</f>
        <v>20367.536</v>
      </c>
      <c r="H8" s="32"/>
      <c r="J8" s="30">
        <f>AVERAGE(' Dataset &amp;cf'!E2:E21)</f>
        <v>1116.6990000000001</v>
      </c>
      <c r="K8" s="30"/>
      <c r="M8" s="31">
        <f>COUNTA(' Dataset &amp;cf'!A2:A21)-1</f>
        <v>19</v>
      </c>
      <c r="N8" s="31"/>
      <c r="P8" s="30">
        <f>MAX(' Dataset &amp;cf'!E2:E21)</f>
        <v>1780.9</v>
      </c>
      <c r="Q8" s="30"/>
      <c r="S8" s="30">
        <f>MIN(' Dataset &amp;cf'!E2:E21)</f>
        <v>540.95000000000005</v>
      </c>
      <c r="T8" s="30"/>
    </row>
    <row r="9" spans="2:23" x14ac:dyDescent="0.25">
      <c r="D9" s="30"/>
      <c r="E9" s="30"/>
      <c r="G9" s="32"/>
      <c r="H9" s="32"/>
      <c r="J9" s="30"/>
      <c r="K9" s="30"/>
      <c r="M9" s="31"/>
      <c r="N9" s="31"/>
      <c r="P9" s="30"/>
      <c r="Q9" s="30"/>
      <c r="S9" s="30"/>
      <c r="T9" s="30"/>
    </row>
    <row r="11" spans="2:23" ht="15" customHeight="1" x14ac:dyDescent="0.25">
      <c r="D11" s="33" t="s">
        <v>130</v>
      </c>
      <c r="E11" s="33"/>
      <c r="F11" s="33"/>
      <c r="G11" s="33"/>
      <c r="H11" s="33"/>
      <c r="I11" s="33"/>
      <c r="J11" s="33"/>
      <c r="K11" s="33"/>
      <c r="L11" s="12"/>
      <c r="M11" s="33" t="s">
        <v>131</v>
      </c>
      <c r="N11" s="33"/>
      <c r="O11" s="33"/>
      <c r="P11" s="33"/>
      <c r="Q11" s="33"/>
      <c r="R11" s="33"/>
      <c r="S11" s="33"/>
      <c r="T11" s="33"/>
    </row>
    <row r="12" spans="2:23" ht="15" customHeight="1" x14ac:dyDescent="0.25">
      <c r="D12" s="33"/>
      <c r="E12" s="33"/>
      <c r="F12" s="33"/>
      <c r="G12" s="33"/>
      <c r="H12" s="33"/>
      <c r="I12" s="33"/>
      <c r="J12" s="33"/>
      <c r="K12" s="33"/>
      <c r="L12" s="12"/>
      <c r="M12" s="33"/>
      <c r="N12" s="33"/>
      <c r="O12" s="33"/>
      <c r="P12" s="33"/>
      <c r="Q12" s="33"/>
      <c r="R12" s="33"/>
      <c r="S12" s="33"/>
      <c r="T12" s="33"/>
    </row>
    <row r="24" spans="8:16" x14ac:dyDescent="0.25">
      <c r="P24" s="1"/>
    </row>
    <row r="31" spans="8:16" x14ac:dyDescent="0.25">
      <c r="H31" s="33" t="s">
        <v>131</v>
      </c>
      <c r="I31" s="33"/>
      <c r="J31" s="33"/>
      <c r="K31" s="33"/>
      <c r="L31" s="33"/>
      <c r="M31" s="33"/>
      <c r="N31" s="33"/>
      <c r="O31" s="33"/>
    </row>
    <row r="32" spans="8:16" x14ac:dyDescent="0.25">
      <c r="H32" s="33"/>
      <c r="I32" s="33"/>
      <c r="J32" s="33"/>
      <c r="K32" s="33"/>
      <c r="L32" s="33"/>
      <c r="M32" s="33"/>
      <c r="N32" s="33"/>
      <c r="O32" s="33"/>
    </row>
  </sheetData>
  <mergeCells count="16">
    <mergeCell ref="H31:O32"/>
    <mergeCell ref="D11:K12"/>
    <mergeCell ref="M11:T12"/>
    <mergeCell ref="M7:N7"/>
    <mergeCell ref="P7:Q7"/>
    <mergeCell ref="S7:T7"/>
    <mergeCell ref="M8:N9"/>
    <mergeCell ref="P8:Q9"/>
    <mergeCell ref="S8:T9"/>
    <mergeCell ref="D7:E7"/>
    <mergeCell ref="G7:H7"/>
    <mergeCell ref="J7:K7"/>
    <mergeCell ref="D8:E9"/>
    <mergeCell ref="G8:H9"/>
    <mergeCell ref="J8:K9"/>
    <mergeCell ref="B3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Dataset &amp;cf</vt:lpstr>
      <vt:lpstr>Summaary Output</vt:lpstr>
      <vt:lpstr>Sales Analysis</vt:lpstr>
      <vt:lpstr>Sales Growth Analysis</vt:lpstr>
      <vt:lpstr>Pivot Table</vt:lpstr>
      <vt:lpstr>Chart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Patel</dc:creator>
  <cp:lastModifiedBy>Tej Patel</cp:lastModifiedBy>
  <dcterms:created xsi:type="dcterms:W3CDTF">2026-06-29T03:48:55Z</dcterms:created>
  <dcterms:modified xsi:type="dcterms:W3CDTF">2026-06-29T06:34:22Z</dcterms:modified>
</cp:coreProperties>
</file>